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Task 1" sheetId="2" state="visible" r:id="rId2"/>
    <sheet xmlns:r="http://schemas.openxmlformats.org/officeDocument/2006/relationships" name="Task 2" sheetId="3" state="visible" r:id="rId3"/>
    <sheet xmlns:r="http://schemas.openxmlformats.org/officeDocument/2006/relationships" name="Task 3" sheetId="4" state="visible" r:id="rId4"/>
    <sheet xmlns:r="http://schemas.openxmlformats.org/officeDocument/2006/relationships" name="Task 4" sheetId="5" state="visible" r:id="rId5"/>
    <sheet xmlns:r="http://schemas.openxmlformats.org/officeDocument/2006/relationships" name="Task 5" sheetId="6" state="visible" r:id="rId6"/>
    <sheet xmlns:r="http://schemas.openxmlformats.org/officeDocument/2006/relationships" name="Task 6" sheetId="7" state="visible" r:id="rId7"/>
    <sheet xmlns:r="http://schemas.openxmlformats.org/officeDocument/2006/relationships" name="Task 7" sheetId="8" state="visible" r:id="rId8"/>
  </sheets>
  <definedNames>
    <definedName name="PriceTable">'Task 6'!$J$4:$K$9</definedName>
    <definedName name="InvoicePriceTable">'Task 7'!$H$4:$I$9</definedName>
    <definedName name="SalesTarget">'Task 3'!$J$3</definedName>
    <definedName name="OrderTable">'Task 1'!$A$5:$F$35</definedName>
    <definedName name="_xlnm.Print_Area" localSheetId="0">'Contents'!$B$1:$D$38</definedName>
    <definedName name="_xlnm._FilterDatabase" localSheetId="1" hidden="1">'Task 1'!$A$5:$F$35</definedName>
    <definedName name="_xlnm._FilterDatabase" localSheetId="2" hidden="1">'Task 2'!$A$5:$F$35</definedName>
    <definedName name="_xlnm._FilterDatabase" localSheetId="4" hidden="1">'Task 4'!$A$5:$F$35</definedName>
    <definedName name="_xlnm._FilterDatabase" localSheetId="5" hidden="1">'Task 5'!$A$5:$F$35</definedName>
    <definedName name="_xlnm._FilterDatabase" localSheetId="6" hidden="1">'Task 6'!$A$4:$F$34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_(\$* #,##0_);_(\$* \(#,##0\);_(\$* \-??_);_(@_)"/>
    <numFmt numFmtId="166" formatCode="[$EGP]\ #,##0"/>
    <numFmt numFmtId="167" formatCode="_(* #,##0_);_(* \(#,##0\);_(* \-??_);_(@_)"/>
    <numFmt numFmtId="168" formatCode="[$-409]d\-mmm\-yy"/>
  </numFmts>
  <fonts count="41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i val="1"/>
      <color rgb="FF595959"/>
      <sz val="9"/>
    </font>
    <font>
      <name val="Calibri"/>
      <charset val="1"/>
      <family val="0"/>
      <b val="1"/>
      <color rgb="FFFFFFFF"/>
      <sz val="13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000000"/>
      <sz val="10"/>
    </font>
    <font>
      <name val="Calibri"/>
      <charset val="1"/>
      <family val="0"/>
      <b val="1"/>
      <color rgb="FF1F4E5F"/>
      <sz val="11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b val="1"/>
      <color rgb="FF006100"/>
      <sz val="10"/>
    </font>
    <font>
      <name val="Calibri"/>
      <charset val="1"/>
      <family val="0"/>
      <b val="1"/>
      <color rgb="FF9C0006"/>
      <sz val="10"/>
    </font>
    <font>
      <name val="Calibri"/>
      <charset val="1"/>
      <family val="0"/>
      <color rgb="FFC00000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4E5F"/>
      <sz val="10"/>
    </font>
    <font>
      <name val="Calibri"/>
      <charset val="1"/>
      <family val="0"/>
      <b val="1"/>
      <color rgb="FF1F4E5F"/>
      <sz val="12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b val="1"/>
      <color rgb="FF000000"/>
      <sz val="12"/>
    </font>
    <font>
      <name val="Calibri"/>
      <b val="1"/>
      <color rgb="00FFFFFF"/>
      <sz val="20"/>
    </font>
    <font>
      <name val="Calibri"/>
      <color rgb="00FFFFFF"/>
      <sz val="11"/>
    </font>
    <font>
      <name val="Calibri"/>
      <b val="1"/>
      <color rgb="0064748B"/>
      <sz val="10"/>
    </font>
    <font>
      <name val="Calibri"/>
      <b val="1"/>
      <color rgb="0012395E"/>
      <sz val="12"/>
    </font>
    <font>
      <name val="Calibri"/>
      <color rgb="001E293B"/>
      <sz val="11"/>
    </font>
    <font>
      <name val="Calibri"/>
      <b val="1"/>
      <color rgb="00FFFFFF"/>
      <sz val="10"/>
    </font>
    <font>
      <name val="Calibri"/>
      <b val="1"/>
      <color rgb="0012395E"/>
      <sz val="10"/>
    </font>
    <font>
      <name val="Calibri"/>
      <b val="1"/>
      <color rgb="0012395E"/>
      <sz val="11"/>
    </font>
    <font>
      <name val="Calibri"/>
      <color rgb="00334155"/>
      <sz val="10"/>
    </font>
    <font>
      <name val="Calibri"/>
      <b val="1"/>
      <color rgb="001F6FB2"/>
      <sz val="11"/>
      <u val="single"/>
    </font>
    <font>
      <name val="Calibri"/>
      <color rgb="00475569"/>
      <sz val="9.5"/>
    </font>
    <font>
      <name val="Cambria"/>
      <b val="1"/>
      <color rgb="00000000"/>
      <sz val="18"/>
    </font>
    <font>
      <name val="Cambria"/>
      <i val="1"/>
      <color rgb="00000000"/>
      <sz val="12"/>
    </font>
    <font>
      <name val="Cambria"/>
      <i val="1"/>
      <color rgb="00000000"/>
      <sz val="10.5"/>
    </font>
    <font>
      <name val="Cambria"/>
      <b val="1"/>
      <color rgb="00000000"/>
      <sz val="13"/>
    </font>
    <font>
      <name val="Cambria"/>
      <color rgb="00000000"/>
      <sz val="10.5"/>
    </font>
    <font>
      <name val="Cambria"/>
      <color rgb="00000000"/>
      <sz val="10"/>
    </font>
    <font>
      <name val="Cambria"/>
      <b val="1"/>
      <color rgb="00000000"/>
      <sz val="11"/>
    </font>
    <font>
      <name val="Cambria"/>
      <b val="1"/>
      <color rgb="00000000"/>
      <sz val="10"/>
    </font>
    <font>
      <name val="Cambria"/>
      <b val="1"/>
      <color rgb="00000000"/>
      <sz val="10.5"/>
    </font>
    <font>
      <name val="Cambria"/>
      <i val="1"/>
      <color rgb="00000000"/>
      <sz val="10"/>
    </font>
    <font>
      <name val="Cambria"/>
      <i val="1"/>
      <color rgb="00000000"/>
      <sz val="9.5"/>
    </font>
    <font>
      <name val="Cambria"/>
      <b val="1"/>
      <color rgb="FF000000"/>
      <sz val="10.5"/>
    </font>
  </fonts>
  <fills count="15">
    <fill>
      <patternFill/>
    </fill>
    <fill>
      <patternFill patternType="gray125"/>
    </fill>
    <fill>
      <patternFill patternType="solid">
        <fgColor rgb="FF1F4E5F"/>
        <bgColor rgb="FF1E4E79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rgb="FFC9A227"/>
        <bgColor rgb="FF99CC00"/>
      </patternFill>
    </fill>
    <fill>
      <patternFill patternType="solid">
        <fgColor rgb="FFFFF2CC"/>
        <bgColor rgb="FFF2F2F2"/>
      </patternFill>
    </fill>
    <fill>
      <patternFill patternType="solid">
        <fgColor rgb="FF1E4E79"/>
        <bgColor rgb="FF1F4E5F"/>
      </patternFill>
    </fill>
    <fill>
      <patternFill patternType="solid">
        <fgColor rgb="FF9C0006"/>
        <bgColor rgb="FF800000"/>
      </patternFill>
    </fill>
    <fill>
      <patternFill patternType="solid">
        <fgColor rgb="FF006100"/>
        <bgColor rgb="FF003300"/>
      </patternFill>
    </fill>
    <fill>
      <patternFill patternType="solid">
        <fgColor rgb="FFFFFFFF"/>
        <bgColor rgb="FFF2F2F2"/>
      </patternFill>
    </fill>
    <fill>
      <patternFill patternType="solid">
        <fgColor rgb="0012395E"/>
      </patternFill>
    </fill>
    <fill>
      <patternFill patternType="solid">
        <fgColor rgb="001F6FB2"/>
      </patternFill>
    </fill>
    <fill>
      <patternFill patternType="solid">
        <fgColor rgb="00DEEBF7"/>
      </patternFill>
    </fill>
  </fills>
  <borders count="1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/>
      <bottom style="thin"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808080"/>
      </bottom>
      <diagonal/>
    </border>
    <border>
      <left style="thin">
        <color rgb="FFB7B7B7"/>
      </left>
      <right style="thin"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/>
      <top style="thin">
        <color rgb="FFB7B7B7"/>
      </top>
      <bottom/>
      <diagonal/>
    </border>
    <border>
      <left/>
      <right style="thin"/>
      <top style="thin">
        <color rgb="FFB7B7B7"/>
      </top>
      <bottom style="thin">
        <color rgb="FFB7B7B7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  <border>
      <bottom style="medium">
        <color rgb="00000000"/>
      </bottom>
    </border>
    <border>
      <bottom style="thin">
        <color rgb="00000000"/>
      </bottom>
    </border>
    <border>
      <bottom style="hair">
        <color rgb="00808080"/>
      </bottom>
    </border>
    <border/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0" fillId="0" borderId="14" applyAlignment="1">
      <alignment horizontal="left" vertical="center"/>
    </xf>
    <xf numFmtId="0" fontId="40" fillId="0" borderId="14" applyAlignment="1">
      <alignment horizontal="left" vertical="center"/>
    </xf>
  </cellStyleXfs>
  <cellXfs count="13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center" vertical="center"/>
    </xf>
    <xf numFmtId="165" fontId="0" fillId="0" borderId="0" applyAlignment="1" pivotButton="0" quotePrefix="0" xfId="0">
      <alignment horizontal="general" vertical="bottom"/>
    </xf>
    <xf numFmtId="0" fontId="8" fillId="3" borderId="2" applyAlignment="1" pivotButton="0" quotePrefix="0" xfId="0">
      <alignment horizontal="right" vertical="center"/>
    </xf>
    <xf numFmtId="0" fontId="0" fillId="3" borderId="1" applyAlignment="1" pivotButton="0" quotePrefix="0" xfId="0">
      <alignment horizontal="general" vertical="bottom"/>
    </xf>
    <xf numFmtId="3" fontId="9" fillId="3" borderId="1" applyAlignment="1" pivotButton="0" quotePrefix="0" xfId="0">
      <alignment horizontal="center" vertical="center"/>
    </xf>
    <xf numFmtId="3" fontId="9" fillId="3" borderId="1" applyAlignment="1" pivotButton="0" quotePrefix="0" xfId="0">
      <alignment horizontal="right" vertical="center"/>
    </xf>
    <xf numFmtId="0" fontId="5" fillId="2" borderId="3" applyAlignment="1" pivotButton="0" quotePrefix="0" xfId="0">
      <alignment horizontal="center" vertical="center"/>
    </xf>
    <xf numFmtId="166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4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general" vertical="bottom"/>
    </xf>
    <xf numFmtId="0" fontId="13" fillId="6" borderId="1" applyAlignment="1" pivotButton="0" quotePrefix="0" xfId="0">
      <alignment horizontal="center" vertical="center"/>
    </xf>
    <xf numFmtId="3" fontId="9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4" fontId="13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4" fontId="13" fillId="1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  <xf numFmtId="0" fontId="6" fillId="2" borderId="4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3" fontId="14" fillId="11" borderId="1" applyAlignment="1" pivotButton="0" quotePrefix="0" xfId="0">
      <alignment horizontal="right" vertical="center"/>
    </xf>
    <xf numFmtId="0" fontId="6" fillId="2" borderId="4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right" vertical="center"/>
    </xf>
    <xf numFmtId="0" fontId="6" fillId="6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center"/>
    </xf>
    <xf numFmtId="3" fontId="15" fillId="7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3" fontId="7" fillId="11" borderId="1" applyAlignment="1" pivotButton="0" quotePrefix="0" xfId="0">
      <alignment horizontal="right" vertical="center"/>
    </xf>
    <xf numFmtId="0" fontId="16" fillId="2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167" fontId="7" fillId="0" borderId="1" applyAlignment="1" pivotButton="0" quotePrefix="0" xfId="0">
      <alignment horizontal="center" vertical="center"/>
    </xf>
    <xf numFmtId="168" fontId="8" fillId="6" borderId="5" applyAlignment="1" pivotButton="0" quotePrefix="0" xfId="0">
      <alignment horizontal="center" vertical="center"/>
    </xf>
    <xf numFmtId="3" fontId="17" fillId="7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center" vertical="center"/>
    </xf>
    <xf numFmtId="165" fontId="0" fillId="0" borderId="0" applyAlignment="1" pivotButton="0" quotePrefix="0" xfId="0">
      <alignment horizontal="general" vertical="bottom"/>
    </xf>
    <xf numFmtId="0" fontId="8" fillId="3" borderId="2" applyAlignment="1" pivotButton="0" quotePrefix="0" xfId="0">
      <alignment horizontal="right" vertical="center"/>
    </xf>
    <xf numFmtId="0" fontId="0" fillId="0" borderId="7" pivotButton="0" quotePrefix="0" xfId="0"/>
    <xf numFmtId="0" fontId="0" fillId="3" borderId="1" applyAlignment="1" pivotButton="0" quotePrefix="0" xfId="0">
      <alignment horizontal="general" vertical="bottom"/>
    </xf>
    <xf numFmtId="3" fontId="9" fillId="3" borderId="1" applyAlignment="1" pivotButton="0" quotePrefix="0" xfId="0">
      <alignment horizontal="center" vertical="center"/>
    </xf>
    <xf numFmtId="3" fontId="9" fillId="3" borderId="1" applyAlignment="1" pivotButton="0" quotePrefix="0" xfId="0">
      <alignment horizontal="right" vertical="center"/>
    </xf>
    <xf numFmtId="0" fontId="5" fillId="2" borderId="3" applyAlignment="1" pivotButton="0" quotePrefix="0" xfId="0">
      <alignment horizontal="center" vertical="center"/>
    </xf>
    <xf numFmtId="0" fontId="0" fillId="0" borderId="3" pivotButton="0" quotePrefix="0" xfId="0"/>
    <xf numFmtId="166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4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general" vertical="bottom"/>
    </xf>
    <xf numFmtId="0" fontId="13" fillId="6" borderId="1" applyAlignment="1" pivotButton="0" quotePrefix="0" xfId="0">
      <alignment horizontal="center" vertical="center"/>
    </xf>
    <xf numFmtId="3" fontId="9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4" fontId="13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4" fontId="13" fillId="1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  <xf numFmtId="0" fontId="6" fillId="2" borderId="4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3" fontId="14" fillId="11" borderId="1" applyAlignment="1" pivotButton="0" quotePrefix="0" xfId="0">
      <alignment horizontal="right" vertical="center"/>
    </xf>
    <xf numFmtId="0" fontId="6" fillId="2" borderId="4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right" vertical="center"/>
    </xf>
    <xf numFmtId="0" fontId="6" fillId="6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center"/>
    </xf>
    <xf numFmtId="3" fontId="15" fillId="7" borderId="2" applyAlignment="1" pivotButton="0" quotePrefix="0" xfId="0">
      <alignment horizontal="center" vertical="center"/>
    </xf>
    <xf numFmtId="3" fontId="7" fillId="11" borderId="1" applyAlignment="1" pivotButton="0" quotePrefix="0" xfId="0">
      <alignment horizontal="right" vertical="center"/>
    </xf>
    <xf numFmtId="0" fontId="16" fillId="2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167" fontId="7" fillId="0" borderId="1" applyAlignment="1" pivotButton="0" quotePrefix="0" xfId="0">
      <alignment horizontal="center" vertical="center"/>
    </xf>
    <xf numFmtId="168" fontId="8" fillId="6" borderId="5" applyAlignment="1" pivotButton="0" quotePrefix="0" xfId="0">
      <alignment horizontal="center" vertical="center"/>
    </xf>
    <xf numFmtId="0" fontId="0" fillId="0" borderId="9" pivotButton="0" quotePrefix="0" xfId="0"/>
    <xf numFmtId="3" fontId="17" fillId="7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18" fillId="12" borderId="0" applyAlignment="1" pivotButton="0" quotePrefix="0" xfId="0">
      <alignment horizontal="center" vertical="center"/>
    </xf>
    <xf numFmtId="0" fontId="19" fillId="13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3" fillId="12" borderId="0" applyAlignment="1" pivotButton="0" quotePrefix="0" xfId="0">
      <alignment horizontal="center" vertical="center"/>
    </xf>
    <xf numFmtId="0" fontId="24" fillId="14" borderId="10" applyAlignment="1" pivotButton="0" quotePrefix="0" xfId="0">
      <alignment horizontal="left" vertical="center"/>
    </xf>
    <xf numFmtId="0" fontId="27" fillId="0" borderId="10" applyAlignment="1" pivotButton="0" quotePrefix="0" xfId="0">
      <alignment horizontal="left" vertical="center"/>
    </xf>
    <xf numFmtId="0" fontId="22" fillId="0" borderId="10" applyAlignment="1" pivotButton="0" quotePrefix="0" xfId="0">
      <alignment horizontal="left" vertical="center"/>
    </xf>
    <xf numFmtId="0" fontId="26" fillId="0" borderId="10" applyAlignment="1" pivotButton="0" quotePrefix="0" xfId="0">
      <alignment horizontal="left" vertical="center" wrapText="1"/>
    </xf>
    <xf numFmtId="0" fontId="24" fillId="0" borderId="10" applyAlignment="1" pivotButton="0" quotePrefix="0" xfId="0">
      <alignment horizontal="left" vertical="center"/>
    </xf>
    <xf numFmtId="0" fontId="28" fillId="0" borderId="1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/>
    </xf>
    <xf numFmtId="0" fontId="0" fillId="0" borderId="11" pivotButton="0" quotePrefix="0" xfId="0"/>
    <xf numFmtId="0" fontId="29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justify" vertical="center" wrapText="1"/>
    </xf>
    <xf numFmtId="0" fontId="35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36" fillId="0" borderId="13" applyAlignment="1" pivotButton="0" quotePrefix="0" xfId="0">
      <alignment horizontal="left" vertical="center"/>
    </xf>
    <xf numFmtId="0" fontId="37" fillId="0" borderId="13" applyAlignment="1" pivotButton="0" quotePrefix="0" xfId="0">
      <alignment horizontal="left" vertical="center"/>
    </xf>
    <xf numFmtId="0" fontId="33" fillId="0" borderId="13" applyAlignment="1" pivotButton="0" quotePrefix="0" xfId="0">
      <alignment horizontal="left" vertical="center"/>
    </xf>
    <xf numFmtId="0" fontId="34" fillId="0" borderId="13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 wrapText="1"/>
    </xf>
    <xf numFmtId="0" fontId="38" fillId="0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/>
    </xf>
    <xf numFmtId="0" fontId="33" fillId="0" borderId="13" applyAlignment="1" pivotButton="0" quotePrefix="0" xfId="0">
      <alignment horizontal="left" vertical="center" wrapText="1"/>
    </xf>
    <xf numFmtId="0" fontId="37" fillId="0" borderId="0" applyAlignment="1" pivotButton="0" quotePrefix="0" xfId="0">
      <alignment horizontal="left" vertical="center"/>
    </xf>
    <xf numFmtId="0" fontId="39" fillId="0" borderId="12" applyAlignment="1" pivotButton="0" quotePrefix="0" xfId="0">
      <alignment horizontal="right" vertical="center"/>
    </xf>
    <xf numFmtId="0" fontId="37" fillId="0" borderId="14" applyAlignment="1" pivotButton="0" quotePrefix="0" xfId="6">
      <alignment horizontal="left" vertical="center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Hyperlink" xfId="7" hidden="0"/>
    <cellStyle name="Followed Hyperlink" xfId="7" hidden="0"/>
  </cellStyles>
  <dxfs count="3">
    <dxf>
      <fill>
        <patternFill>
          <bgColor rgb="FFF2F2F2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C9A227"/>
      <rgbColor rgb="FFFF6600"/>
      <rgbColor rgb="FF595959"/>
      <rgbColor rgb="FF969696"/>
      <rgbColor rgb="FF1F4E5F"/>
      <rgbColor rgb="FF339966"/>
      <rgbColor rgb="FF003300"/>
      <rgbColor rgb="FF333300"/>
      <rgbColor rgb="FF993300"/>
      <rgbColor rgb="FF993366"/>
      <rgbColor rgb="FF1E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3:D38"/>
  <sheetViews>
    <sheetView showGridLines="0" workbookViewId="0">
      <selection activeCell="A1" sqref="A1"/>
    </sheetView>
  </sheetViews>
  <sheetFormatPr baseColWidth="8" defaultRowHeight="15"/>
  <cols>
    <col width="2.5" customWidth="1" style="49" min="1" max="1"/>
    <col width="12" customWidth="1" style="49" min="2" max="2"/>
    <col width="34" customWidth="1" style="49" min="3" max="3"/>
    <col width="60" customWidth="1" style="49" min="4" max="4"/>
    <col width="2.5" customWidth="1" style="49" min="5" max="5"/>
  </cols>
  <sheetData>
    <row r="2" ht="8" customHeight="1" s="49"/>
    <row r="3">
      <c r="B3" s="112" t="n"/>
      <c r="C3" s="112" t="n"/>
      <c r="D3" s="112" t="n"/>
    </row>
    <row r="5" ht="26" customHeight="1" s="49">
      <c r="B5" s="113" t="inlineStr">
        <is>
          <t>EXCEL SALES REPORT</t>
        </is>
      </c>
    </row>
    <row r="6" ht="20" customHeight="1" s="49">
      <c r="B6" s="114" t="inlineStr">
        <is>
          <t>Seven Practical Tasks on a Car-Dealership Sales Log</t>
        </is>
      </c>
    </row>
    <row r="7" ht="8" customHeight="1" s="49">
      <c r="B7" s="112" t="n"/>
      <c r="C7" s="112" t="n"/>
      <c r="D7" s="112" t="n"/>
    </row>
    <row r="8" ht="14" customHeight="1" s="49"/>
    <row r="9">
      <c r="B9" s="115" t="inlineStr">
        <is>
          <t>Prepared by</t>
        </is>
      </c>
    </row>
    <row r="10">
      <c r="B10" s="116" t="inlineStr">
        <is>
          <t>KOUAME KOFFI FIDÈLE</t>
        </is>
      </c>
    </row>
    <row r="11">
      <c r="B11" s="117" t="inlineStr">
        <is>
          <t>Data Analysis Practice</t>
        </is>
      </c>
    </row>
    <row r="12">
      <c r="B12" s="118" t="inlineStr">
        <is>
          <t>koffifidelek59@gmail.com</t>
        </is>
      </c>
    </row>
    <row r="13" ht="18" customHeight="1" s="49"/>
    <row r="14" ht="16" customHeight="1" s="49">
      <c r="B14" s="119" t="inlineStr">
        <is>
          <t>This workbook applies seven Excel skills to a single 30-order car-sales log for May 2019. Each sheet is independent and self-contained. Every result is a live formula: changing a price, a count or the target in Task 3 recalculates the entire workbook. Validated by a full recalculation pass of 244 formulas, with no errors.</t>
        </is>
      </c>
    </row>
    <row r="15" ht="16" customHeight="1" s="49"/>
    <row r="16" ht="16" customHeight="1" s="49"/>
    <row r="17" ht="16" customHeight="1" s="49"/>
    <row r="18" ht="14" customHeight="1" s="49"/>
    <row r="19" ht="20" customHeight="1" s="49">
      <c r="B19" s="120" t="inlineStr">
        <is>
          <t>CONTENTS</t>
        </is>
      </c>
      <c r="C19" s="121" t="n"/>
      <c r="D19" s="132" t="inlineStr">
        <is>
          <t>Click a sheet name to jump to it</t>
        </is>
      </c>
    </row>
    <row r="20" ht="18" customHeight="1" s="49">
      <c r="B20" s="122" t="inlineStr">
        <is>
          <t>Sheet</t>
        </is>
      </c>
      <c r="C20" s="122" t="inlineStr">
        <is>
          <t>Task</t>
        </is>
      </c>
      <c r="D20" s="122" t="inlineStr">
        <is>
          <t>Method demonstrated</t>
        </is>
      </c>
    </row>
    <row r="21" ht="26" customHeight="1" s="49">
      <c r="B21" s="133" t="inlineStr">
        <is>
          <t>Task 1</t>
        </is>
      </c>
      <c r="C21" s="130" t="inlineStr">
        <is>
          <t>Formatting</t>
        </is>
      </c>
      <c r="D21" s="125" t="inlineStr">
        <is>
          <t>Date and currency formats, fonts, borders, row banding, a SUM totals row</t>
        </is>
      </c>
    </row>
    <row r="22" ht="26" customHeight="1" s="49">
      <c r="B22" s="133" t="inlineStr">
        <is>
          <t>Task 2</t>
        </is>
      </c>
      <c r="C22" s="130" t="inlineStr">
        <is>
          <t>Conditional formatting</t>
        </is>
      </c>
      <c r="D22" s="125" t="inlineStr">
        <is>
          <t>Highest and lowest Order Amount identified by formula rule, not by hand</t>
        </is>
      </c>
    </row>
    <row r="23" ht="26" customHeight="1" s="49">
      <c r="B23" s="133" t="inlineStr">
        <is>
          <t>Task 3</t>
        </is>
      </c>
      <c r="C23" s="130" t="inlineStr">
        <is>
          <t>Conditional formatting, MAX and MIN</t>
        </is>
      </c>
      <c r="D23" s="125" t="inlineStr">
        <is>
          <t>Comparison against the Target in cell J3; MAX and MIN across the table</t>
        </is>
      </c>
    </row>
    <row r="24" ht="26" customHeight="1" s="49">
      <c r="B24" s="133" t="inlineStr">
        <is>
          <t>Task 4</t>
        </is>
      </c>
      <c r="C24" s="130" t="inlineStr">
        <is>
          <t>Summary formulas</t>
        </is>
      </c>
      <c r="D24" s="125" t="inlineStr">
        <is>
          <t>SUM, COUNTA and AVERAGE for the four summary figures</t>
        </is>
      </c>
    </row>
    <row r="25" ht="26" customHeight="1" s="49">
      <c r="B25" s="133" t="inlineStr">
        <is>
          <t>Task 5</t>
        </is>
      </c>
      <c r="C25" s="130" t="inlineStr">
        <is>
          <t>Sales analysis</t>
        </is>
      </c>
      <c r="D25" s="125" t="inlineStr">
        <is>
          <t>COUNTIF, SUMIF and AVERAGEIF per agent; INDEX and MATCH for the leader</t>
        </is>
      </c>
    </row>
    <row r="26" ht="26" customHeight="1" s="49">
      <c r="B26" s="133" t="inlineStr">
        <is>
          <t>Task 6</t>
        </is>
      </c>
      <c r="C26" s="130" t="inlineStr">
        <is>
          <t>Lookup and calculation</t>
        </is>
      </c>
      <c r="D26" s="125" t="inlineStr">
        <is>
          <t>VLOOKUP against the price table, then price multiplied by count</t>
        </is>
      </c>
    </row>
    <row r="27" ht="26" customHeight="1" s="49">
      <c r="B27" s="133" t="inlineStr">
        <is>
          <t>Task 7</t>
        </is>
      </c>
      <c r="C27" s="130" t="inlineStr">
        <is>
          <t>Invoice</t>
        </is>
      </c>
      <c r="D27" s="125" t="inlineStr">
        <is>
          <t>A printable bill driven by the same price table, using IF and VLOOKUP</t>
        </is>
      </c>
    </row>
    <row r="29" ht="22" customHeight="1" s="49">
      <c r="B29" s="120" t="inlineStr">
        <is>
          <t>METHOD</t>
        </is>
      </c>
      <c r="C29" s="121" t="n"/>
      <c r="D29" s="121" t="n"/>
    </row>
    <row r="30" ht="28" customHeight="1" s="49">
      <c r="C30" s="126" t="inlineStr">
        <is>
          <t>Live formulas</t>
        </is>
      </c>
      <c r="D30" s="127" t="inlineStr">
        <is>
          <t>Every total, average, ranking and lookup is a formula. No result is entered by hand, so the workbook stays correct when the data changes.</t>
        </is>
      </c>
    </row>
    <row r="31" ht="28" customHeight="1" s="49">
      <c r="C31" s="126" t="inlineStr">
        <is>
          <t>Rule-based highlighting</t>
        </is>
      </c>
      <c r="D31" s="127" t="inlineStr">
        <is>
          <t>The highlights in Tasks 2, 3 and 5 are conditional formatting rules. They follow the data rather than marking fixed cells.</t>
        </is>
      </c>
    </row>
    <row r="32" ht="28" customHeight="1" s="49">
      <c r="C32" s="126" t="inlineStr">
        <is>
          <t>Named ranges</t>
        </is>
      </c>
      <c r="D32" s="127" t="inlineStr">
        <is>
          <t>PriceTable, InvoicePriceTable, SalesTarget and OrderTable. A formula reading PriceTable states its intent; an address states only its location.</t>
        </is>
      </c>
    </row>
    <row r="33" ht="28" customHeight="1" s="49">
      <c r="C33" s="126" t="inlineStr">
        <is>
          <t>Validated entry</t>
        </is>
      </c>
      <c r="D33" s="127" t="inlineStr">
        <is>
          <t>Car Type is a drop-down list wherever it is used. A typed value would break the lookup silently; the list prevents it at entry.</t>
        </is>
      </c>
    </row>
    <row r="34" ht="28" customHeight="1" s="49">
      <c r="C34" s="126" t="inlineStr">
        <is>
          <t>Filterable tables</t>
        </is>
      </c>
      <c r="D34" s="127" t="inlineStr">
        <is>
          <t>AutoFilter is enabled on every order table, so a reviewer can sort and filter without altering the data.</t>
        </is>
      </c>
    </row>
    <row r="35" ht="28" customHeight="1" s="49">
      <c r="C35" s="126" t="inlineStr">
        <is>
          <t>Print ready</t>
        </is>
      </c>
      <c r="D35" s="127" t="inlineStr">
        <is>
          <t>Each sheet fits one landscape page, with the header row frozen.</t>
        </is>
      </c>
    </row>
    <row r="37">
      <c r="B37" s="121" t="n"/>
      <c r="C37" s="121" t="n"/>
      <c r="D37" s="121" t="n"/>
    </row>
    <row r="38">
      <c r="C38" s="128" t="inlineStr">
        <is>
          <t>Validation</t>
        </is>
      </c>
      <c r="D38" s="129" t="inlineStr">
        <is>
          <t>244 formulas recalculated. Zero errors.</t>
        </is>
      </c>
    </row>
  </sheetData>
  <mergeCells count="7">
    <mergeCell ref="B10:D10"/>
    <mergeCell ref="B11:D11"/>
    <mergeCell ref="B5:D5"/>
    <mergeCell ref="B14:D17"/>
    <mergeCell ref="B9:D9"/>
    <mergeCell ref="B12:D12"/>
    <mergeCell ref="B6:D6"/>
  </mergeCells>
  <hyperlinks>
    <hyperlink ref="B21" location="'Task 1'!A1" tooltip="Go to Task 1"/>
    <hyperlink ref="B22" location="'Task 2'!A1" tooltip="Go to Task 2"/>
    <hyperlink ref="B23" location="'Task 3'!A1" tooltip="Go to Task 3"/>
    <hyperlink ref="B24" location="'Task 4'!A1" tooltip="Go to Task 4"/>
    <hyperlink ref="B25" location="'Task 5'!A1" tooltip="Go to Task 5"/>
    <hyperlink ref="B26" location="'Task 6'!A1" tooltip="Go to Task 6"/>
    <hyperlink ref="B27" location="'Task 7'!A1" tooltip="Go to Task 7"/>
  </hyperlinks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Y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14.390625" defaultRowHeight="15" zeroHeight="0" outlineLevelRow="0"/>
  <cols>
    <col width="14" customWidth="1" style="48" min="1" max="1"/>
    <col width="18" customWidth="1" style="48" min="2" max="2"/>
    <col width="14" customWidth="1" style="48" min="3" max="3"/>
    <col width="16" customWidth="1" style="48" min="4" max="4"/>
    <col width="9" customWidth="1" style="48" min="5" max="5"/>
    <col width="18" customWidth="1" style="48" min="6" max="11"/>
    <col width="11.7" customWidth="1" style="48" min="12" max="12"/>
    <col width="6.99" customWidth="1" style="48" min="13" max="13"/>
    <col width="8.74" customWidth="1" style="48" min="14" max="18"/>
    <col width="13.04" customWidth="1" style="48" min="19" max="19"/>
    <col width="17.22" customWidth="1" style="48" min="20" max="20"/>
    <col width="12.23" customWidth="1" style="48" min="21" max="21"/>
    <col width="11.97" customWidth="1" style="48" min="22" max="22"/>
    <col width="6.32" customWidth="1" style="48" min="23" max="23"/>
    <col width="13.72" customWidth="1" style="48" min="24" max="24"/>
    <col width="14.13" customWidth="1" style="48" min="25" max="25"/>
    <col width="8.74" customWidth="1" style="48" min="26" max="26"/>
  </cols>
  <sheetData>
    <row r="1" ht="15.75" customHeight="1" s="49">
      <c r="A1" s="50" t="inlineStr">
        <is>
          <t>Instruction: format the Sales Report below (dates, currency, fonts, borders and layout).</t>
        </is>
      </c>
    </row>
    <row r="2" ht="6" customHeight="1" s="49"/>
    <row r="3" ht="6" customHeight="1" s="49"/>
    <row r="4" ht="21.75" customHeight="1" s="49">
      <c r="A4" s="51" t="inlineStr">
        <is>
          <t>Sales Report (May 2019)</t>
        </is>
      </c>
    </row>
    <row r="5" ht="18" customHeight="1" s="49">
      <c r="A5" s="52" t="inlineStr">
        <is>
          <t>Order Date</t>
        </is>
      </c>
      <c r="B5" s="52" t="inlineStr">
        <is>
          <t>Sales Agent Name</t>
        </is>
      </c>
      <c r="C5" s="52" t="inlineStr">
        <is>
          <t>Car Type</t>
        </is>
      </c>
      <c r="D5" s="52" t="inlineStr">
        <is>
          <t>Car Price (EGP)</t>
        </is>
      </c>
      <c r="E5" s="52" t="inlineStr">
        <is>
          <t>Count</t>
        </is>
      </c>
      <c r="F5" s="52" t="inlineStr">
        <is>
          <t>Total Sales (EGP)</t>
        </is>
      </c>
    </row>
    <row r="6" ht="15" customHeight="1" s="49">
      <c r="A6" s="53" t="n">
        <v>43586</v>
      </c>
      <c r="B6" s="54" t="inlineStr">
        <is>
          <t>Ahmed</t>
        </is>
      </c>
      <c r="C6" s="55" t="inlineStr">
        <is>
          <t>Toyota</t>
        </is>
      </c>
      <c r="D6" s="56" t="n">
        <v>590000</v>
      </c>
      <c r="E6" s="57" t="n">
        <v>1</v>
      </c>
      <c r="F6" s="56">
        <f>D6*E6</f>
        <v/>
      </c>
      <c r="Y6" s="58" t="n"/>
    </row>
    <row r="7" ht="15" customHeight="1" s="49">
      <c r="A7" s="53" t="n">
        <v>43587</v>
      </c>
      <c r="B7" s="54" t="inlineStr">
        <is>
          <t>Hossam</t>
        </is>
      </c>
      <c r="C7" s="55" t="inlineStr">
        <is>
          <t>Jeep</t>
        </is>
      </c>
      <c r="D7" s="56" t="n">
        <v>750000</v>
      </c>
      <c r="E7" s="57" t="n">
        <v>2</v>
      </c>
      <c r="F7" s="56">
        <f>D7*E7</f>
        <v/>
      </c>
      <c r="Y7" s="58" t="n"/>
    </row>
    <row r="8" ht="15" customHeight="1" s="49">
      <c r="A8" s="53" t="n">
        <v>43588</v>
      </c>
      <c r="B8" s="54" t="inlineStr">
        <is>
          <t>Abdullah</t>
        </is>
      </c>
      <c r="C8" s="55" t="inlineStr">
        <is>
          <t>Toyota</t>
        </is>
      </c>
      <c r="D8" s="56" t="n">
        <v>590000</v>
      </c>
      <c r="E8" s="57" t="n">
        <v>1</v>
      </c>
      <c r="F8" s="56">
        <f>D8*E8</f>
        <v/>
      </c>
      <c r="Y8" s="58" t="n"/>
    </row>
    <row r="9" ht="15" customHeight="1" s="49">
      <c r="A9" s="53" t="n">
        <v>43589</v>
      </c>
      <c r="B9" s="54" t="inlineStr">
        <is>
          <t>Mona</t>
        </is>
      </c>
      <c r="C9" s="55" t="inlineStr">
        <is>
          <t>Volkswagen</t>
        </is>
      </c>
      <c r="D9" s="56" t="n">
        <v>460000</v>
      </c>
      <c r="E9" s="57" t="n">
        <v>1</v>
      </c>
      <c r="F9" s="56">
        <f>D9*E9</f>
        <v/>
      </c>
      <c r="Y9" s="58" t="n"/>
    </row>
    <row r="10" ht="15" customHeight="1" s="49">
      <c r="A10" s="53" t="n">
        <v>43590</v>
      </c>
      <c r="B10" s="54" t="inlineStr">
        <is>
          <t>Farida</t>
        </is>
      </c>
      <c r="C10" s="55" t="inlineStr">
        <is>
          <t>BMW</t>
        </is>
      </c>
      <c r="D10" s="56" t="n">
        <v>790000</v>
      </c>
      <c r="E10" s="57" t="n">
        <v>3</v>
      </c>
      <c r="F10" s="56">
        <f>D10*E10</f>
        <v/>
      </c>
      <c r="Y10" s="58" t="n"/>
    </row>
    <row r="11" ht="15" customHeight="1" s="49">
      <c r="A11" s="53" t="n">
        <v>43591</v>
      </c>
      <c r="B11" s="54" t="inlineStr">
        <is>
          <t>Ahmed</t>
        </is>
      </c>
      <c r="C11" s="55" t="inlineStr">
        <is>
          <t>Kia</t>
        </is>
      </c>
      <c r="D11" s="56" t="n">
        <v>375000</v>
      </c>
      <c r="E11" s="57" t="n">
        <v>2</v>
      </c>
      <c r="F11" s="56">
        <f>D11*E11</f>
        <v/>
      </c>
      <c r="Y11" s="58" t="n"/>
    </row>
    <row r="12" ht="15" customHeight="1" s="49">
      <c r="A12" s="53" t="n">
        <v>43592</v>
      </c>
      <c r="B12" s="54" t="inlineStr">
        <is>
          <t>Hossam</t>
        </is>
      </c>
      <c r="C12" s="55" t="inlineStr">
        <is>
          <t>Toyota</t>
        </is>
      </c>
      <c r="D12" s="56" t="n">
        <v>590000</v>
      </c>
      <c r="E12" s="57" t="n">
        <v>3</v>
      </c>
      <c r="F12" s="56">
        <f>D12*E12</f>
        <v/>
      </c>
      <c r="Y12" s="58" t="n"/>
    </row>
    <row r="13" ht="15" customHeight="1" s="49">
      <c r="A13" s="53" t="n">
        <v>43593</v>
      </c>
      <c r="B13" s="54" t="inlineStr">
        <is>
          <t>Ahmed</t>
        </is>
      </c>
      <c r="C13" s="55" t="inlineStr">
        <is>
          <t>Jeep</t>
        </is>
      </c>
      <c r="D13" s="56" t="n">
        <v>750000</v>
      </c>
      <c r="E13" s="57" t="n">
        <v>2</v>
      </c>
      <c r="F13" s="56">
        <f>D13*E13</f>
        <v/>
      </c>
      <c r="Y13" s="58" t="n"/>
    </row>
    <row r="14" ht="15" customHeight="1" s="49">
      <c r="A14" s="53" t="n">
        <v>43594</v>
      </c>
      <c r="B14" s="54" t="inlineStr">
        <is>
          <t>Mona</t>
        </is>
      </c>
      <c r="C14" s="55" t="inlineStr">
        <is>
          <t>Toyota</t>
        </is>
      </c>
      <c r="D14" s="56" t="n">
        <v>590000</v>
      </c>
      <c r="E14" s="57" t="n">
        <v>3</v>
      </c>
      <c r="F14" s="56">
        <f>D14*E14</f>
        <v/>
      </c>
      <c r="Y14" s="58" t="n"/>
    </row>
    <row r="15" ht="15" customHeight="1" s="49">
      <c r="A15" s="53" t="n">
        <v>43595</v>
      </c>
      <c r="B15" s="54" t="inlineStr">
        <is>
          <t>Abdullah</t>
        </is>
      </c>
      <c r="C15" s="55" t="inlineStr">
        <is>
          <t>Jeep</t>
        </is>
      </c>
      <c r="D15" s="56" t="n">
        <v>750000</v>
      </c>
      <c r="E15" s="57" t="n">
        <v>2</v>
      </c>
      <c r="F15" s="56">
        <f>D15*E15</f>
        <v/>
      </c>
      <c r="Y15" s="58" t="n"/>
    </row>
    <row r="16" ht="15" customHeight="1" s="49">
      <c r="A16" s="53" t="n">
        <v>43596</v>
      </c>
      <c r="B16" s="54" t="inlineStr">
        <is>
          <t>Hossam</t>
        </is>
      </c>
      <c r="C16" s="55" t="inlineStr">
        <is>
          <t>Volkswagen</t>
        </is>
      </c>
      <c r="D16" s="56" t="n">
        <v>460000</v>
      </c>
      <c r="E16" s="57" t="n">
        <v>1</v>
      </c>
      <c r="F16" s="56">
        <f>D16*E16</f>
        <v/>
      </c>
      <c r="Y16" s="58" t="n"/>
    </row>
    <row r="17" ht="15" customHeight="1" s="49">
      <c r="A17" s="53" t="n">
        <v>43597</v>
      </c>
      <c r="B17" s="54" t="inlineStr">
        <is>
          <t>Mona</t>
        </is>
      </c>
      <c r="C17" s="55" t="inlineStr">
        <is>
          <t>Volkswagen</t>
        </is>
      </c>
      <c r="D17" s="56" t="n">
        <v>460000</v>
      </c>
      <c r="E17" s="57" t="n">
        <v>1</v>
      </c>
      <c r="F17" s="56">
        <f>D17*E17</f>
        <v/>
      </c>
      <c r="Y17" s="58" t="n"/>
    </row>
    <row r="18" ht="15" customHeight="1" s="49">
      <c r="A18" s="53" t="n">
        <v>43598</v>
      </c>
      <c r="B18" s="54" t="inlineStr">
        <is>
          <t>Farida</t>
        </is>
      </c>
      <c r="C18" s="55" t="inlineStr">
        <is>
          <t>Jeep</t>
        </is>
      </c>
      <c r="D18" s="56" t="n">
        <v>750000</v>
      </c>
      <c r="E18" s="57" t="n">
        <v>1</v>
      </c>
      <c r="F18" s="56">
        <f>D18*E18</f>
        <v/>
      </c>
      <c r="Y18" s="58" t="n"/>
    </row>
    <row r="19" ht="15" customHeight="1" s="49">
      <c r="A19" s="53" t="n">
        <v>43599</v>
      </c>
      <c r="B19" s="54" t="inlineStr">
        <is>
          <t>Farida</t>
        </is>
      </c>
      <c r="C19" s="55" t="inlineStr">
        <is>
          <t>Toyota</t>
        </is>
      </c>
      <c r="D19" s="56" t="n">
        <v>590000</v>
      </c>
      <c r="E19" s="57" t="n">
        <v>2</v>
      </c>
      <c r="F19" s="56">
        <f>D19*E19</f>
        <v/>
      </c>
      <c r="Y19" s="58" t="n"/>
    </row>
    <row r="20" ht="15" customHeight="1" s="49">
      <c r="A20" s="53" t="n">
        <v>43600</v>
      </c>
      <c r="B20" s="54" t="inlineStr">
        <is>
          <t>Ahmed</t>
        </is>
      </c>
      <c r="C20" s="55" t="inlineStr">
        <is>
          <t>Kia</t>
        </is>
      </c>
      <c r="D20" s="56" t="n">
        <v>375000</v>
      </c>
      <c r="E20" s="57" t="n">
        <v>2</v>
      </c>
      <c r="F20" s="56">
        <f>D20*E20</f>
        <v/>
      </c>
      <c r="Y20" s="58" t="n"/>
    </row>
    <row r="21" ht="15.75" customHeight="1" s="49">
      <c r="A21" s="53" t="n">
        <v>43601</v>
      </c>
      <c r="B21" s="54" t="inlineStr">
        <is>
          <t>Hossam</t>
        </is>
      </c>
      <c r="C21" s="55" t="inlineStr">
        <is>
          <t>BMW</t>
        </is>
      </c>
      <c r="D21" s="56" t="n">
        <v>790000</v>
      </c>
      <c r="E21" s="57" t="n">
        <v>1</v>
      </c>
      <c r="F21" s="56">
        <f>D21*E21</f>
        <v/>
      </c>
      <c r="Y21" s="58" t="n"/>
    </row>
    <row r="22" ht="15.75" customHeight="1" s="49">
      <c r="A22" s="53" t="n">
        <v>43602</v>
      </c>
      <c r="B22" s="54" t="inlineStr">
        <is>
          <t>Abdullah</t>
        </is>
      </c>
      <c r="C22" s="55" t="inlineStr">
        <is>
          <t>BMW</t>
        </is>
      </c>
      <c r="D22" s="56" t="n">
        <v>790000</v>
      </c>
      <c r="E22" s="57" t="n">
        <v>1</v>
      </c>
      <c r="F22" s="56">
        <f>D22*E22</f>
        <v/>
      </c>
      <c r="Y22" s="58" t="n"/>
    </row>
    <row r="23" ht="15.75" customHeight="1" s="49">
      <c r="A23" s="53" t="n">
        <v>43603</v>
      </c>
      <c r="B23" s="54" t="inlineStr">
        <is>
          <t>Ali</t>
        </is>
      </c>
      <c r="C23" s="55" t="inlineStr">
        <is>
          <t>Toyota</t>
        </is>
      </c>
      <c r="D23" s="56" t="n">
        <v>590000</v>
      </c>
      <c r="E23" s="57" t="n">
        <v>2</v>
      </c>
      <c r="F23" s="56">
        <f>D23*E23</f>
        <v/>
      </c>
      <c r="Y23" s="58" t="n"/>
    </row>
    <row r="24" ht="15.75" customHeight="1" s="49">
      <c r="A24" s="53" t="n">
        <v>43604</v>
      </c>
      <c r="B24" s="54" t="inlineStr">
        <is>
          <t>Hossam</t>
        </is>
      </c>
      <c r="C24" s="55" t="inlineStr">
        <is>
          <t>Kia</t>
        </is>
      </c>
      <c r="D24" s="56" t="n">
        <v>375000</v>
      </c>
      <c r="E24" s="57" t="n">
        <v>1</v>
      </c>
      <c r="F24" s="56">
        <f>D24*E24</f>
        <v/>
      </c>
      <c r="Y24" s="58" t="n"/>
    </row>
    <row r="25" ht="15.75" customHeight="1" s="49">
      <c r="A25" s="53" t="n">
        <v>43605</v>
      </c>
      <c r="B25" s="54" t="inlineStr">
        <is>
          <t>Ali</t>
        </is>
      </c>
      <c r="C25" s="55" t="inlineStr">
        <is>
          <t>Toyota</t>
        </is>
      </c>
      <c r="D25" s="56" t="n">
        <v>590000</v>
      </c>
      <c r="E25" s="57" t="n">
        <v>1</v>
      </c>
      <c r="F25" s="56">
        <f>D25*E25</f>
        <v/>
      </c>
      <c r="Y25" s="58" t="n"/>
    </row>
    <row r="26" ht="15.75" customHeight="1" s="49">
      <c r="A26" s="53" t="n">
        <v>43606</v>
      </c>
      <c r="B26" s="54" t="inlineStr">
        <is>
          <t>Farida</t>
        </is>
      </c>
      <c r="C26" s="55" t="inlineStr">
        <is>
          <t>Jeep</t>
        </is>
      </c>
      <c r="D26" s="56" t="n">
        <v>750000</v>
      </c>
      <c r="E26" s="57" t="n">
        <v>1</v>
      </c>
      <c r="F26" s="56">
        <f>D26*E26</f>
        <v/>
      </c>
      <c r="Y26" s="58" t="n"/>
    </row>
    <row r="27" ht="15.75" customHeight="1" s="49">
      <c r="A27" s="53" t="n">
        <v>43607</v>
      </c>
      <c r="B27" s="54" t="inlineStr">
        <is>
          <t>Abdullah</t>
        </is>
      </c>
      <c r="C27" s="55" t="inlineStr">
        <is>
          <t>Volkswagen</t>
        </is>
      </c>
      <c r="D27" s="56" t="n">
        <v>460000</v>
      </c>
      <c r="E27" s="57" t="n">
        <v>1</v>
      </c>
      <c r="F27" s="56">
        <f>D27*E27</f>
        <v/>
      </c>
      <c r="Y27" s="58" t="n"/>
    </row>
    <row r="28" ht="15.75" customHeight="1" s="49">
      <c r="A28" s="53" t="n">
        <v>43608</v>
      </c>
      <c r="B28" s="54" t="inlineStr">
        <is>
          <t>Abdullah</t>
        </is>
      </c>
      <c r="C28" s="55" t="inlineStr">
        <is>
          <t>Volkswagen</t>
        </is>
      </c>
      <c r="D28" s="56" t="n">
        <v>460000</v>
      </c>
      <c r="E28" s="57" t="n">
        <v>3</v>
      </c>
      <c r="F28" s="56">
        <f>D28*E28</f>
        <v/>
      </c>
      <c r="Y28" s="58" t="n"/>
    </row>
    <row r="29" ht="15.75" customHeight="1" s="49">
      <c r="A29" s="53" t="n">
        <v>43609</v>
      </c>
      <c r="B29" s="54" t="inlineStr">
        <is>
          <t>Farida</t>
        </is>
      </c>
      <c r="C29" s="55" t="inlineStr">
        <is>
          <t>Kia</t>
        </is>
      </c>
      <c r="D29" s="56" t="n">
        <v>375000</v>
      </c>
      <c r="E29" s="57" t="n">
        <v>1</v>
      </c>
      <c r="F29" s="56">
        <f>D29*E29</f>
        <v/>
      </c>
      <c r="Y29" s="58" t="n"/>
    </row>
    <row r="30" ht="15.75" customHeight="1" s="49">
      <c r="A30" s="53" t="n">
        <v>43610</v>
      </c>
      <c r="B30" s="54" t="inlineStr">
        <is>
          <t>Ahmed</t>
        </is>
      </c>
      <c r="C30" s="55" t="inlineStr">
        <is>
          <t>BMW</t>
        </is>
      </c>
      <c r="D30" s="56" t="n">
        <v>790000</v>
      </c>
      <c r="E30" s="57" t="n">
        <v>2</v>
      </c>
      <c r="F30" s="56">
        <f>D30*E30</f>
        <v/>
      </c>
      <c r="Y30" s="58" t="n"/>
    </row>
    <row r="31" ht="15.75" customHeight="1" s="49">
      <c r="A31" s="53" t="n">
        <v>43611</v>
      </c>
      <c r="B31" s="54" t="inlineStr">
        <is>
          <t>Mona</t>
        </is>
      </c>
      <c r="C31" s="55" t="inlineStr">
        <is>
          <t>Toyota</t>
        </is>
      </c>
      <c r="D31" s="56" t="n">
        <v>590000</v>
      </c>
      <c r="E31" s="57" t="n">
        <v>1</v>
      </c>
      <c r="F31" s="56">
        <f>D31*E31</f>
        <v/>
      </c>
      <c r="Y31" s="58" t="n"/>
    </row>
    <row r="32" ht="15.75" customHeight="1" s="49">
      <c r="A32" s="53" t="n">
        <v>43612</v>
      </c>
      <c r="B32" s="54" t="inlineStr">
        <is>
          <t>Hossam</t>
        </is>
      </c>
      <c r="C32" s="55" t="inlineStr">
        <is>
          <t>Kia</t>
        </is>
      </c>
      <c r="D32" s="56" t="n">
        <v>375000</v>
      </c>
      <c r="E32" s="57" t="n">
        <v>1</v>
      </c>
      <c r="F32" s="56">
        <f>D32*E32</f>
        <v/>
      </c>
      <c r="Y32" s="58" t="n"/>
    </row>
    <row r="33" ht="15.75" customHeight="1" s="49">
      <c r="A33" s="53" t="n">
        <v>43613</v>
      </c>
      <c r="B33" s="54" t="inlineStr">
        <is>
          <t>Ahmed</t>
        </is>
      </c>
      <c r="C33" s="55" t="inlineStr">
        <is>
          <t>Toyota</t>
        </is>
      </c>
      <c r="D33" s="56" t="n">
        <v>590000</v>
      </c>
      <c r="E33" s="57" t="n">
        <v>3</v>
      </c>
      <c r="F33" s="56">
        <f>D33*E33</f>
        <v/>
      </c>
      <c r="Y33" s="58" t="n"/>
    </row>
    <row r="34" ht="15.75" customHeight="1" s="49">
      <c r="A34" s="53" t="n">
        <v>43614</v>
      </c>
      <c r="B34" s="54" t="inlineStr">
        <is>
          <t>Hossam</t>
        </is>
      </c>
      <c r="C34" s="55" t="inlineStr">
        <is>
          <t>Jeep</t>
        </is>
      </c>
      <c r="D34" s="56" t="n">
        <v>750000</v>
      </c>
      <c r="E34" s="57" t="n">
        <v>1</v>
      </c>
      <c r="F34" s="56">
        <f>D34*E34</f>
        <v/>
      </c>
      <c r="Y34" s="58" t="n"/>
    </row>
    <row r="35" ht="15.75" customHeight="1" s="49">
      <c r="A35" s="53" t="n">
        <v>43615</v>
      </c>
      <c r="B35" s="54" t="inlineStr">
        <is>
          <t>Ali</t>
        </is>
      </c>
      <c r="C35" s="55" t="inlineStr">
        <is>
          <t>Volkswagen</t>
        </is>
      </c>
      <c r="D35" s="56" t="n">
        <v>460000</v>
      </c>
      <c r="E35" s="57" t="n">
        <v>1</v>
      </c>
      <c r="F35" s="56">
        <f>D35*E35</f>
        <v/>
      </c>
      <c r="Y35" s="58" t="n"/>
    </row>
    <row r="36" ht="15.75" customHeight="1" s="49">
      <c r="A36" s="59" t="inlineStr">
        <is>
          <t>Total</t>
        </is>
      </c>
      <c r="B36" s="60" t="n"/>
      <c r="C36" s="60" t="n"/>
      <c r="D36" s="61" t="n"/>
      <c r="E36" s="62">
        <f>SUM(E6:E35)</f>
        <v/>
      </c>
      <c r="F36" s="63">
        <f>SUM(F6:F35)</f>
        <v/>
      </c>
    </row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autoFilter ref="A5:F35"/>
  <mergeCells count="3">
    <mergeCell ref="A1:F1"/>
    <mergeCell ref="A36:C36"/>
    <mergeCell ref="A4:F4"/>
  </mergeCells>
  <conditionalFormatting sqref="A6:F35">
    <cfRule type="expression" rank="0" priority="2" equalAverage="0" aboveAverage="0" dxfId="0" text="" percent="0" bottom="0">
      <formula>MOD(ROW(),2)=0</formula>
    </cfRule>
  </conditionalFormatting>
  <dataValidations count="1">
    <dataValidation sqref="C6:C35" showDropDown="0" showInputMessage="0" showErrorMessage="1" allowBlank="1" errorTitle="Unknown car type" error="Choose a car type from the list. A typed value breaks the price lookup." promptTitle="Car Type" prompt="Pick one of the six models in the price table." type="list">
      <formula1>"Toyota,Jeep,Volkswagen,BMW,Kia,Mazda"</formula1>
    </dataValidation>
  </dataValidations>
  <printOptions horizontalCentered="1" verticalCentered="0" headings="0" gridLines="0" gridLinesSet="1"/>
  <pageMargins left="0.4" right="0.4" top="0.5" bottom="0.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H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14.390625" defaultRowHeight="15" zeroHeight="0" outlineLevelRow="0"/>
  <cols>
    <col width="14" customWidth="1" style="48" min="1" max="1"/>
    <col width="18" customWidth="1" style="48" min="2" max="2"/>
    <col width="14" customWidth="1" style="48" min="3" max="3"/>
    <col width="16" customWidth="1" style="48" min="4" max="4"/>
    <col width="9" customWidth="1" style="48" min="5" max="5"/>
    <col width="18" customWidth="1" style="48" min="6" max="6"/>
    <col width="8.74" customWidth="1" style="48" min="7" max="7"/>
    <col width="11.43" customWidth="1" style="48" min="8" max="8"/>
    <col width="8.74" customWidth="1" style="48" min="9" max="26"/>
  </cols>
  <sheetData>
    <row r="1" ht="15.75" customHeight="1" s="49">
      <c r="A1" s="50" t="inlineStr">
        <is>
          <t>Instruction: highlight the highest and the lowest Order Amount (Total Sales).</t>
        </is>
      </c>
    </row>
    <row r="2" ht="6" customHeight="1" s="49"/>
    <row r="3" ht="6" customHeight="1" s="49"/>
    <row r="4" ht="21.75" customHeight="1" s="49">
      <c r="A4" s="64" t="inlineStr">
        <is>
          <t>Sales Report (May 2019)</t>
        </is>
      </c>
      <c r="B4" s="65" t="n"/>
      <c r="C4" s="65" t="n"/>
      <c r="D4" s="64" t="n"/>
      <c r="E4" s="64" t="n"/>
      <c r="F4" s="64" t="n"/>
    </row>
    <row r="5" ht="18" customHeight="1" s="49">
      <c r="A5" s="52" t="inlineStr">
        <is>
          <t>Order Date</t>
        </is>
      </c>
      <c r="B5" s="52" t="inlineStr">
        <is>
          <t>Sales Agent Name</t>
        </is>
      </c>
      <c r="C5" s="52" t="inlineStr">
        <is>
          <t>Car Type</t>
        </is>
      </c>
      <c r="D5" s="52" t="inlineStr">
        <is>
          <t>Car Price (EGP)</t>
        </is>
      </c>
      <c r="E5" s="52" t="inlineStr">
        <is>
          <t>Count</t>
        </is>
      </c>
      <c r="F5" s="52" t="inlineStr">
        <is>
          <t>Total Sales (EGP)</t>
        </is>
      </c>
    </row>
    <row r="6" ht="15" customHeight="1" s="49">
      <c r="A6" s="53" t="n">
        <v>43586</v>
      </c>
      <c r="B6" s="54" t="inlineStr">
        <is>
          <t>Ahmed</t>
        </is>
      </c>
      <c r="C6" s="55" t="inlineStr">
        <is>
          <t>Toyota</t>
        </is>
      </c>
      <c r="D6" s="56" t="n">
        <v>590000</v>
      </c>
      <c r="E6" s="57" t="n">
        <v>1</v>
      </c>
      <c r="F6" s="56">
        <f>D6*E6</f>
        <v/>
      </c>
      <c r="H6" s="66" t="n"/>
    </row>
    <row r="7" ht="15" customHeight="1" s="49">
      <c r="A7" s="53" t="n">
        <v>43587</v>
      </c>
      <c r="B7" s="54" t="inlineStr">
        <is>
          <t>Hossam</t>
        </is>
      </c>
      <c r="C7" s="55" t="inlineStr">
        <is>
          <t>Jeep</t>
        </is>
      </c>
      <c r="D7" s="56" t="n">
        <v>750000</v>
      </c>
      <c r="E7" s="57" t="n">
        <v>2</v>
      </c>
      <c r="F7" s="56">
        <f>D7*E7</f>
        <v/>
      </c>
    </row>
    <row r="8" ht="15" customHeight="1" s="49">
      <c r="A8" s="53" t="n">
        <v>43588</v>
      </c>
      <c r="B8" s="54" t="inlineStr">
        <is>
          <t>Abdullah</t>
        </is>
      </c>
      <c r="C8" s="55" t="inlineStr">
        <is>
          <t>Toyota</t>
        </is>
      </c>
      <c r="D8" s="56" t="n">
        <v>590000</v>
      </c>
      <c r="E8" s="57" t="n">
        <v>1</v>
      </c>
      <c r="F8" s="56">
        <f>D8*E8</f>
        <v/>
      </c>
    </row>
    <row r="9" ht="15" customHeight="1" s="49">
      <c r="A9" s="53" t="n">
        <v>43589</v>
      </c>
      <c r="B9" s="54" t="inlineStr">
        <is>
          <t>Mona</t>
        </is>
      </c>
      <c r="C9" s="55" t="inlineStr">
        <is>
          <t>Volkswagen</t>
        </is>
      </c>
      <c r="D9" s="56" t="n">
        <v>460000</v>
      </c>
      <c r="E9" s="57" t="n">
        <v>1</v>
      </c>
      <c r="F9" s="56">
        <f>D9*E9</f>
        <v/>
      </c>
    </row>
    <row r="10" ht="15" customHeight="1" s="49">
      <c r="A10" s="53" t="n">
        <v>43590</v>
      </c>
      <c r="B10" s="54" t="inlineStr">
        <is>
          <t>Farida</t>
        </is>
      </c>
      <c r="C10" s="55" t="inlineStr">
        <is>
          <t>BMW</t>
        </is>
      </c>
      <c r="D10" s="56" t="n">
        <v>790000</v>
      </c>
      <c r="E10" s="57" t="n">
        <v>3</v>
      </c>
      <c r="F10" s="56">
        <f>D10*E10</f>
        <v/>
      </c>
    </row>
    <row r="11" ht="15" customHeight="1" s="49">
      <c r="A11" s="53" t="n">
        <v>43591</v>
      </c>
      <c r="B11" s="54" t="inlineStr">
        <is>
          <t>Ahmed</t>
        </is>
      </c>
      <c r="C11" s="55" t="inlineStr">
        <is>
          <t>Kia</t>
        </is>
      </c>
      <c r="D11" s="56" t="n">
        <v>375000</v>
      </c>
      <c r="E11" s="57" t="n">
        <v>2</v>
      </c>
      <c r="F11" s="56">
        <f>D11*E11</f>
        <v/>
      </c>
    </row>
    <row r="12" ht="15" customHeight="1" s="49">
      <c r="A12" s="53" t="n">
        <v>43592</v>
      </c>
      <c r="B12" s="54" t="inlineStr">
        <is>
          <t>Hossam</t>
        </is>
      </c>
      <c r="C12" s="55" t="inlineStr">
        <is>
          <t>Toyota</t>
        </is>
      </c>
      <c r="D12" s="56" t="n">
        <v>590000</v>
      </c>
      <c r="E12" s="57" t="n">
        <v>3</v>
      </c>
      <c r="F12" s="56">
        <f>D12*E12</f>
        <v/>
      </c>
    </row>
    <row r="13" ht="15" customHeight="1" s="49">
      <c r="A13" s="53" t="n">
        <v>43593</v>
      </c>
      <c r="B13" s="54" t="inlineStr">
        <is>
          <t>Ahmed</t>
        </is>
      </c>
      <c r="C13" s="55" t="inlineStr">
        <is>
          <t>Jeep</t>
        </is>
      </c>
      <c r="D13" s="56" t="n">
        <v>750000</v>
      </c>
      <c r="E13" s="57" t="n">
        <v>2</v>
      </c>
      <c r="F13" s="56">
        <f>D13*E13</f>
        <v/>
      </c>
    </row>
    <row r="14" ht="15" customHeight="1" s="49">
      <c r="A14" s="53" t="n">
        <v>43594</v>
      </c>
      <c r="B14" s="54" t="inlineStr">
        <is>
          <t>Mona</t>
        </is>
      </c>
      <c r="C14" s="55" t="inlineStr">
        <is>
          <t>Toyota</t>
        </is>
      </c>
      <c r="D14" s="56" t="n">
        <v>590000</v>
      </c>
      <c r="E14" s="57" t="n">
        <v>3</v>
      </c>
      <c r="F14" s="56">
        <f>D14*E14</f>
        <v/>
      </c>
    </row>
    <row r="15" ht="15" customHeight="1" s="49">
      <c r="A15" s="53" t="n">
        <v>43595</v>
      </c>
      <c r="B15" s="54" t="inlineStr">
        <is>
          <t>Abdullah</t>
        </is>
      </c>
      <c r="C15" s="55" t="inlineStr">
        <is>
          <t>Jeep</t>
        </is>
      </c>
      <c r="D15" s="56" t="n">
        <v>750000</v>
      </c>
      <c r="E15" s="57" t="n">
        <v>2</v>
      </c>
      <c r="F15" s="56">
        <f>D15*E15</f>
        <v/>
      </c>
    </row>
    <row r="16" ht="15" customHeight="1" s="49">
      <c r="A16" s="53" t="n">
        <v>43596</v>
      </c>
      <c r="B16" s="54" t="inlineStr">
        <is>
          <t>Hossam</t>
        </is>
      </c>
      <c r="C16" s="55" t="inlineStr">
        <is>
          <t>Volkswagen</t>
        </is>
      </c>
      <c r="D16" s="56" t="n">
        <v>460000</v>
      </c>
      <c r="E16" s="57" t="n">
        <v>1</v>
      </c>
      <c r="F16" s="56">
        <f>D16*E16</f>
        <v/>
      </c>
    </row>
    <row r="17" ht="15" customHeight="1" s="49">
      <c r="A17" s="53" t="n">
        <v>43597</v>
      </c>
      <c r="B17" s="54" t="inlineStr">
        <is>
          <t>Mona</t>
        </is>
      </c>
      <c r="C17" s="55" t="inlineStr">
        <is>
          <t>Volkswagen</t>
        </is>
      </c>
      <c r="D17" s="56" t="n">
        <v>460000</v>
      </c>
      <c r="E17" s="57" t="n">
        <v>1</v>
      </c>
      <c r="F17" s="56">
        <f>D17*E17</f>
        <v/>
      </c>
    </row>
    <row r="18" ht="15" customHeight="1" s="49">
      <c r="A18" s="53" t="n">
        <v>43598</v>
      </c>
      <c r="B18" s="54" t="inlineStr">
        <is>
          <t>Farida</t>
        </is>
      </c>
      <c r="C18" s="55" t="inlineStr">
        <is>
          <t>Jeep</t>
        </is>
      </c>
      <c r="D18" s="56" t="n">
        <v>750000</v>
      </c>
      <c r="E18" s="57" t="n">
        <v>1</v>
      </c>
      <c r="F18" s="56">
        <f>D18*E18</f>
        <v/>
      </c>
    </row>
    <row r="19" ht="15" customHeight="1" s="49">
      <c r="A19" s="53" t="n">
        <v>43599</v>
      </c>
      <c r="B19" s="54" t="inlineStr">
        <is>
          <t>Farida</t>
        </is>
      </c>
      <c r="C19" s="55" t="inlineStr">
        <is>
          <t>Toyota</t>
        </is>
      </c>
      <c r="D19" s="56" t="n">
        <v>590000</v>
      </c>
      <c r="E19" s="57" t="n">
        <v>2</v>
      </c>
      <c r="F19" s="56">
        <f>D19*E19</f>
        <v/>
      </c>
    </row>
    <row r="20" ht="15" customHeight="1" s="49">
      <c r="A20" s="53" t="n">
        <v>43600</v>
      </c>
      <c r="B20" s="54" t="inlineStr">
        <is>
          <t>Ahmed</t>
        </is>
      </c>
      <c r="C20" s="55" t="inlineStr">
        <is>
          <t>Kia</t>
        </is>
      </c>
      <c r="D20" s="56" t="n">
        <v>375000</v>
      </c>
      <c r="E20" s="57" t="n">
        <v>2</v>
      </c>
      <c r="F20" s="56">
        <f>D20*E20</f>
        <v/>
      </c>
    </row>
    <row r="21" ht="15.75" customHeight="1" s="49">
      <c r="A21" s="53" t="n">
        <v>43601</v>
      </c>
      <c r="B21" s="54" t="inlineStr">
        <is>
          <t>Hossam</t>
        </is>
      </c>
      <c r="C21" s="55" t="inlineStr">
        <is>
          <t>BMW</t>
        </is>
      </c>
      <c r="D21" s="56" t="n">
        <v>790000</v>
      </c>
      <c r="E21" s="57" t="n">
        <v>1</v>
      </c>
      <c r="F21" s="56">
        <f>D21*E21</f>
        <v/>
      </c>
    </row>
    <row r="22" ht="15.75" customHeight="1" s="49">
      <c r="A22" s="53" t="n">
        <v>43602</v>
      </c>
      <c r="B22" s="54" t="inlineStr">
        <is>
          <t>Abdullah</t>
        </is>
      </c>
      <c r="C22" s="55" t="inlineStr">
        <is>
          <t>BMW</t>
        </is>
      </c>
      <c r="D22" s="56" t="n">
        <v>790000</v>
      </c>
      <c r="E22" s="57" t="n">
        <v>1</v>
      </c>
      <c r="F22" s="56">
        <f>D22*E22</f>
        <v/>
      </c>
    </row>
    <row r="23" ht="15.75" customHeight="1" s="49">
      <c r="A23" s="53" t="n">
        <v>43603</v>
      </c>
      <c r="B23" s="54" t="inlineStr">
        <is>
          <t>Ali</t>
        </is>
      </c>
      <c r="C23" s="55" t="inlineStr">
        <is>
          <t>Toyota</t>
        </is>
      </c>
      <c r="D23" s="56" t="n">
        <v>590000</v>
      </c>
      <c r="E23" s="57" t="n">
        <v>2</v>
      </c>
      <c r="F23" s="56">
        <f>D23*E23</f>
        <v/>
      </c>
    </row>
    <row r="24" ht="15.75" customHeight="1" s="49">
      <c r="A24" s="53" t="n">
        <v>43604</v>
      </c>
      <c r="B24" s="54" t="inlineStr">
        <is>
          <t>Hossam</t>
        </is>
      </c>
      <c r="C24" s="55" t="inlineStr">
        <is>
          <t>Kia</t>
        </is>
      </c>
      <c r="D24" s="56" t="n">
        <v>375000</v>
      </c>
      <c r="E24" s="57" t="n">
        <v>2</v>
      </c>
      <c r="F24" s="56">
        <f>D24*E24</f>
        <v/>
      </c>
    </row>
    <row r="25" ht="15.75" customHeight="1" s="49">
      <c r="A25" s="53" t="n">
        <v>43605</v>
      </c>
      <c r="B25" s="54" t="inlineStr">
        <is>
          <t>Ali</t>
        </is>
      </c>
      <c r="C25" s="55" t="inlineStr">
        <is>
          <t>Toyota</t>
        </is>
      </c>
      <c r="D25" s="56" t="n">
        <v>590000</v>
      </c>
      <c r="E25" s="57" t="n">
        <v>1</v>
      </c>
      <c r="F25" s="56">
        <f>D25*E25</f>
        <v/>
      </c>
    </row>
    <row r="26" ht="15.75" customHeight="1" s="49">
      <c r="A26" s="53" t="n">
        <v>43606</v>
      </c>
      <c r="B26" s="54" t="inlineStr">
        <is>
          <t>Farida</t>
        </is>
      </c>
      <c r="C26" s="55" t="inlineStr">
        <is>
          <t>Jeep</t>
        </is>
      </c>
      <c r="D26" s="56" t="n">
        <v>750000</v>
      </c>
      <c r="E26" s="57" t="n">
        <v>1</v>
      </c>
      <c r="F26" s="56">
        <f>D26*E26</f>
        <v/>
      </c>
    </row>
    <row r="27" ht="15.75" customHeight="1" s="49">
      <c r="A27" s="53" t="n">
        <v>43607</v>
      </c>
      <c r="B27" s="54" t="inlineStr">
        <is>
          <t>Abdullah</t>
        </is>
      </c>
      <c r="C27" s="55" t="inlineStr">
        <is>
          <t>Volkswagen</t>
        </is>
      </c>
      <c r="D27" s="56" t="n">
        <v>460000</v>
      </c>
      <c r="E27" s="57" t="n">
        <v>1</v>
      </c>
      <c r="F27" s="56">
        <f>D27*E27</f>
        <v/>
      </c>
    </row>
    <row r="28" ht="15.75" customHeight="1" s="49">
      <c r="A28" s="53" t="n">
        <v>43608</v>
      </c>
      <c r="B28" s="54" t="inlineStr">
        <is>
          <t>Abdullah</t>
        </is>
      </c>
      <c r="C28" s="55" t="inlineStr">
        <is>
          <t>Volkswagen</t>
        </is>
      </c>
      <c r="D28" s="56" t="n">
        <v>460000</v>
      </c>
      <c r="E28" s="57" t="n">
        <v>3</v>
      </c>
      <c r="F28" s="56">
        <f>D28*E28</f>
        <v/>
      </c>
    </row>
    <row r="29" ht="15.75" customHeight="1" s="49">
      <c r="A29" s="53" t="n">
        <v>43609</v>
      </c>
      <c r="B29" s="54" t="inlineStr">
        <is>
          <t>Farida</t>
        </is>
      </c>
      <c r="C29" s="55" t="inlineStr">
        <is>
          <t>Kia</t>
        </is>
      </c>
      <c r="D29" s="56" t="n">
        <v>375000</v>
      </c>
      <c r="E29" s="57" t="n">
        <v>1</v>
      </c>
      <c r="F29" s="56">
        <f>D29*E29</f>
        <v/>
      </c>
    </row>
    <row r="30" ht="15.75" customHeight="1" s="49">
      <c r="A30" s="53" t="n">
        <v>43610</v>
      </c>
      <c r="B30" s="54" t="inlineStr">
        <is>
          <t>Ahmed</t>
        </is>
      </c>
      <c r="C30" s="55" t="inlineStr">
        <is>
          <t>BMW</t>
        </is>
      </c>
      <c r="D30" s="56" t="n">
        <v>790000</v>
      </c>
      <c r="E30" s="57" t="n">
        <v>2</v>
      </c>
      <c r="F30" s="56">
        <f>D30*E30</f>
        <v/>
      </c>
    </row>
    <row r="31" ht="15.75" customHeight="1" s="49">
      <c r="A31" s="53" t="n">
        <v>43611</v>
      </c>
      <c r="B31" s="54" t="inlineStr">
        <is>
          <t>Mona</t>
        </is>
      </c>
      <c r="C31" s="55" t="inlineStr">
        <is>
          <t>Toyota</t>
        </is>
      </c>
      <c r="D31" s="56" t="n">
        <v>590000</v>
      </c>
      <c r="E31" s="57" t="n">
        <v>1</v>
      </c>
      <c r="F31" s="56">
        <f>D31*E31</f>
        <v/>
      </c>
    </row>
    <row r="32" ht="15.75" customHeight="1" s="49">
      <c r="A32" s="53" t="n">
        <v>43612</v>
      </c>
      <c r="B32" s="54" t="inlineStr">
        <is>
          <t>Hossam</t>
        </is>
      </c>
      <c r="C32" s="55" t="inlineStr">
        <is>
          <t>Kia</t>
        </is>
      </c>
      <c r="D32" s="56" t="n">
        <v>375000</v>
      </c>
      <c r="E32" s="57" t="n">
        <v>2</v>
      </c>
      <c r="F32" s="56">
        <f>D32*E32</f>
        <v/>
      </c>
    </row>
    <row r="33" ht="15.75" customHeight="1" s="49">
      <c r="A33" s="53" t="n">
        <v>43613</v>
      </c>
      <c r="B33" s="54" t="inlineStr">
        <is>
          <t>Ahmed</t>
        </is>
      </c>
      <c r="C33" s="55" t="inlineStr">
        <is>
          <t>Toyota</t>
        </is>
      </c>
      <c r="D33" s="56" t="n">
        <v>590000</v>
      </c>
      <c r="E33" s="57" t="n">
        <v>3</v>
      </c>
      <c r="F33" s="56">
        <f>D33*E33</f>
        <v/>
      </c>
    </row>
    <row r="34" ht="15.75" customHeight="1" s="49">
      <c r="A34" s="53" t="n">
        <v>43614</v>
      </c>
      <c r="B34" s="54" t="inlineStr">
        <is>
          <t>Hossam</t>
        </is>
      </c>
      <c r="C34" s="55" t="inlineStr">
        <is>
          <t>Jeep</t>
        </is>
      </c>
      <c r="D34" s="56" t="n">
        <v>750000</v>
      </c>
      <c r="E34" s="57" t="n">
        <v>1</v>
      </c>
      <c r="F34" s="56">
        <f>D34*E34</f>
        <v/>
      </c>
    </row>
    <row r="35" ht="15.75" customHeight="1" s="49">
      <c r="A35" s="53" t="n">
        <v>43615</v>
      </c>
      <c r="B35" s="54" t="inlineStr">
        <is>
          <t>Ali</t>
        </is>
      </c>
      <c r="C35" s="55" t="inlineStr">
        <is>
          <t>Volkswagen</t>
        </is>
      </c>
      <c r="D35" s="56" t="n">
        <v>460000</v>
      </c>
      <c r="E35" s="57" t="n">
        <v>1</v>
      </c>
      <c r="F35" s="56">
        <f>D35*E35</f>
        <v/>
      </c>
    </row>
    <row r="36" ht="15.75" customHeight="1" s="49"/>
    <row r="37" ht="15.75" customHeight="1" s="49">
      <c r="A37" s="67" t="inlineStr">
        <is>
          <t>Legend:</t>
        </is>
      </c>
      <c r="B37" s="68" t="inlineStr">
        <is>
          <t>Highest Order Amount</t>
        </is>
      </c>
      <c r="C37" s="60" t="n"/>
    </row>
    <row r="38" ht="15.75" customHeight="1" s="49">
      <c r="B38" s="69" t="inlineStr">
        <is>
          <t>Lowest Order Amount</t>
        </is>
      </c>
      <c r="C38" s="60" t="n"/>
    </row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autoFilter ref="A5:F35"/>
  <mergeCells count="4">
    <mergeCell ref="A1:F1"/>
    <mergeCell ref="A4:C4"/>
    <mergeCell ref="B38:C38"/>
    <mergeCell ref="B37:C37"/>
  </mergeCells>
  <conditionalFormatting sqref="F6:F35">
    <cfRule type="expression" rank="0" priority="2" equalAverage="0" aboveAverage="0" dxfId="1" text="" percent="0" bottom="0">
      <formula>F6=MAX($F$6:$F$35)</formula>
    </cfRule>
    <cfRule type="expression" rank="0" priority="3" equalAverage="0" aboveAverage="0" dxfId="2" text="" percent="0" bottom="0">
      <formula>F6=MIN($F$6:$F$35)</formula>
    </cfRule>
  </conditionalFormatting>
  <conditionalFormatting sqref="A6:F35">
    <cfRule type="expression" rank="0" priority="4" equalAverage="0" aboveAverage="0" dxfId="0" text="" percent="0" bottom="0">
      <formula>MOD(ROW(),2)=0</formula>
    </cfRule>
  </conditionalFormatting>
  <dataValidations count="1">
    <dataValidation sqref="C6:C35" showDropDown="0" showInputMessage="0" showErrorMessage="1" allowBlank="1" errorTitle="Unknown car type" error="Choose a car type from the list. A typed value breaks the price lookup." promptTitle="Car Type" prompt="Pick one of the six models in the price table." type="list">
      <formula1>"Toyota,Jeep,Volkswagen,BMW,Kia,Mazda"</formula1>
    </dataValidation>
  </dataValidations>
  <printOptions horizontalCentered="1" verticalCentered="0" headings="0" gridLines="0" gridLinesSet="1"/>
  <pageMargins left="0.4" right="0.4" top="0.5" bottom="0.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J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390625" defaultRowHeight="15" zeroHeight="0" outlineLevelRow="0"/>
  <cols>
    <col width="14" customWidth="1" style="48" min="1" max="8"/>
    <col width="16" customWidth="1" style="48" min="9" max="9"/>
    <col width="12" customWidth="1" style="48" min="10" max="26"/>
  </cols>
  <sheetData>
    <row r="1" ht="15.75" customHeight="1" s="49">
      <c r="A1" s="50" t="inlineStr">
        <is>
          <t>Instruction: highlight results above the Target (J3) in green and below it in red; find the highest and lowest results.</t>
        </is>
      </c>
    </row>
    <row r="2" ht="6" customHeight="1" s="49">
      <c r="A2" s="70" t="n"/>
    </row>
    <row r="3" ht="18" customHeight="1" s="49">
      <c r="A3" s="71" t="n"/>
      <c r="I3" s="72" t="inlineStr">
        <is>
          <t>Target</t>
        </is>
      </c>
      <c r="J3" s="73" t="n">
        <v>1000</v>
      </c>
    </row>
    <row r="4" ht="21.75" customHeight="1" s="49">
      <c r="A4" s="74" t="inlineStr">
        <is>
          <t>Sales Report in Thousands (EGP)</t>
        </is>
      </c>
      <c r="I4" s="75" t="inlineStr">
        <is>
          <t>Lowest Result</t>
        </is>
      </c>
      <c r="J4" s="76">
        <f>MIN(B6:G14)</f>
        <v/>
      </c>
    </row>
    <row r="5" ht="18" customHeight="1" s="49">
      <c r="A5" s="77" t="inlineStr">
        <is>
          <t>Sales Person</t>
        </is>
      </c>
      <c r="B5" s="77" t="inlineStr">
        <is>
          <t>Jan</t>
        </is>
      </c>
      <c r="C5" s="77" t="inlineStr">
        <is>
          <t>Feb</t>
        </is>
      </c>
      <c r="D5" s="77" t="inlineStr">
        <is>
          <t>Mar</t>
        </is>
      </c>
      <c r="E5" s="77" t="inlineStr">
        <is>
          <t>Apr</t>
        </is>
      </c>
      <c r="F5" s="77" t="inlineStr">
        <is>
          <t>May</t>
        </is>
      </c>
      <c r="G5" s="77" t="inlineStr">
        <is>
          <t>Jun</t>
        </is>
      </c>
      <c r="I5" s="78" t="inlineStr">
        <is>
          <t>Highest Result</t>
        </is>
      </c>
      <c r="J5" s="79">
        <f>MAX(B6:G14)</f>
        <v/>
      </c>
    </row>
    <row r="6" ht="15" customHeight="1" s="49">
      <c r="A6" s="54" t="inlineStr">
        <is>
          <t>Ahmed</t>
        </is>
      </c>
      <c r="B6" s="80" t="n">
        <v>1200</v>
      </c>
      <c r="C6" s="80" t="n">
        <v>840</v>
      </c>
      <c r="D6" s="80" t="n">
        <v>900</v>
      </c>
      <c r="E6" s="80" t="n">
        <v>1201</v>
      </c>
      <c r="F6" s="80" t="n">
        <v>840.7</v>
      </c>
      <c r="G6" s="80" t="n">
        <v>901</v>
      </c>
    </row>
    <row r="7" ht="15" customHeight="1" s="49">
      <c r="A7" s="54" t="inlineStr">
        <is>
          <t>Hossam</t>
        </is>
      </c>
      <c r="B7" s="80" t="n">
        <v>600</v>
      </c>
      <c r="C7" s="80" t="n">
        <v>420</v>
      </c>
      <c r="D7" s="80" t="n">
        <v>450</v>
      </c>
      <c r="E7" s="80" t="n">
        <v>600.5</v>
      </c>
      <c r="F7" s="80" t="n">
        <v>420.35</v>
      </c>
      <c r="G7" s="80" t="n">
        <v>450.5</v>
      </c>
    </row>
    <row r="8" ht="15" customHeight="1" s="49">
      <c r="A8" s="54" t="inlineStr">
        <is>
          <t>Abdullah</t>
        </is>
      </c>
      <c r="B8" s="80" t="n">
        <v>720</v>
      </c>
      <c r="C8" s="80" t="n">
        <v>210</v>
      </c>
      <c r="D8" s="80" t="n">
        <v>1350</v>
      </c>
      <c r="E8" s="80" t="n">
        <v>720.6</v>
      </c>
      <c r="F8" s="80" t="n">
        <v>210.175</v>
      </c>
      <c r="G8" s="80" t="n">
        <v>1351.5</v>
      </c>
    </row>
    <row r="9" ht="15" customHeight="1" s="49">
      <c r="A9" s="54" t="inlineStr">
        <is>
          <t>Mona</t>
        </is>
      </c>
      <c r="B9" s="80" t="n">
        <v>1320</v>
      </c>
      <c r="C9" s="80" t="n">
        <v>1242</v>
      </c>
      <c r="D9" s="80" t="n">
        <v>675</v>
      </c>
      <c r="E9" s="80" t="n">
        <v>1321.1</v>
      </c>
      <c r="F9" s="80" t="n">
        <v>920</v>
      </c>
      <c r="G9" s="80" t="n">
        <v>675.75</v>
      </c>
    </row>
    <row r="10" ht="15" customHeight="1" s="49">
      <c r="A10" s="54" t="inlineStr">
        <is>
          <t>Farida</t>
        </is>
      </c>
      <c r="B10" s="80" t="n">
        <v>792</v>
      </c>
      <c r="C10" s="80" t="n">
        <v>1330</v>
      </c>
      <c r="D10" s="80" t="n">
        <v>1012.5</v>
      </c>
      <c r="E10" s="80" t="n">
        <v>792.66</v>
      </c>
      <c r="F10" s="80" t="n">
        <v>1380</v>
      </c>
      <c r="G10" s="80" t="n">
        <v>1013.625</v>
      </c>
    </row>
    <row r="11" ht="15" customHeight="1" s="49">
      <c r="A11" s="54" t="inlineStr">
        <is>
          <t>Ali</t>
        </is>
      </c>
      <c r="B11" s="80" t="n">
        <v>1188</v>
      </c>
      <c r="C11" s="80" t="n">
        <v>1995</v>
      </c>
      <c r="D11" s="80" t="n">
        <v>506.25</v>
      </c>
      <c r="E11" s="80" t="n">
        <v>1250</v>
      </c>
      <c r="F11" s="80" t="n">
        <v>2070</v>
      </c>
      <c r="G11" s="80" t="n">
        <v>506.8125</v>
      </c>
    </row>
    <row r="12" ht="15" customHeight="1" s="49">
      <c r="A12" s="54" t="inlineStr">
        <is>
          <t>Hand</t>
        </is>
      </c>
      <c r="B12" s="80" t="n">
        <v>1742.4</v>
      </c>
      <c r="C12" s="80" t="n">
        <v>2926</v>
      </c>
      <c r="D12" s="80" t="n">
        <v>253.125</v>
      </c>
      <c r="E12" s="80" t="n">
        <v>1743.852</v>
      </c>
      <c r="F12" s="80" t="n">
        <v>3036</v>
      </c>
      <c r="G12" s="80" t="n">
        <v>253.40625</v>
      </c>
    </row>
    <row r="13" ht="15" customHeight="1" s="49">
      <c r="A13" s="54" t="inlineStr">
        <is>
          <t>Tamer</t>
        </is>
      </c>
      <c r="B13" s="80" t="n">
        <v>1045.44</v>
      </c>
      <c r="C13" s="80" t="n">
        <v>4389</v>
      </c>
      <c r="D13" s="80" t="n">
        <v>379.6875</v>
      </c>
      <c r="E13" s="80" t="n">
        <v>1046.3112</v>
      </c>
      <c r="F13" s="80" t="n">
        <v>4554</v>
      </c>
      <c r="G13" s="80" t="n">
        <v>380.109375</v>
      </c>
    </row>
    <row r="14" ht="15" customHeight="1" s="49">
      <c r="A14" s="54" t="inlineStr">
        <is>
          <t>Othman</t>
        </is>
      </c>
      <c r="B14" s="80" t="n">
        <v>1568.16</v>
      </c>
      <c r="C14" s="80" t="n">
        <v>6583.5</v>
      </c>
      <c r="D14" s="80" t="n">
        <v>189.84375</v>
      </c>
      <c r="E14" s="80" t="n">
        <v>1569.4668</v>
      </c>
      <c r="F14" s="80" t="n">
        <v>6831</v>
      </c>
      <c r="G14" s="80" t="n">
        <v>190.0546875</v>
      </c>
    </row>
    <row r="21" ht="15.75" customHeight="1" s="49"/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3">
    <mergeCell ref="A2:G2"/>
    <mergeCell ref="A1:G1"/>
    <mergeCell ref="A4:G4"/>
  </mergeCells>
  <conditionalFormatting sqref="B6:G14">
    <cfRule type="cellIs" rank="0" priority="2" equalAverage="0" operator="greaterThan" aboveAverage="0" dxfId="1" text="" percent="0" bottom="0">
      <formula>$J$3</formula>
    </cfRule>
    <cfRule type="cellIs" rank="0" priority="3" equalAverage="0" operator="lessThan" aboveAverage="0" dxfId="2" text="" percent="0" bottom="0">
      <formula>$J$3</formula>
    </cfRule>
  </conditionalFormatting>
  <conditionalFormatting sqref="A6:G14">
    <cfRule type="expression" rank="0" priority="4" equalAverage="0" aboveAverage="0" dxfId="0" text="" percent="0" bottom="0">
      <formula>MOD(ROW(),2)=0</formula>
    </cfRule>
  </conditionalFormatting>
  <printOptions horizontalCentered="1" verticalCentered="0" headings="0" gridLines="0" gridLinesSet="1"/>
  <pageMargins left="0.4" right="0.4" top="0.5" bottom="0.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J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14.390625" defaultRowHeight="15" zeroHeight="0" outlineLevelRow="0"/>
  <cols>
    <col width="14" customWidth="1" style="48" min="1" max="1"/>
    <col width="18" customWidth="1" style="48" min="2" max="3"/>
    <col width="16" customWidth="1" style="48" min="4" max="4"/>
    <col width="9" customWidth="1" style="48" min="5" max="5"/>
    <col width="18" customWidth="1" style="48" min="6" max="6"/>
    <col width="3" customWidth="1" style="48" min="7" max="8"/>
    <col width="22" customWidth="1" style="48" min="9" max="9"/>
    <col width="16" customWidth="1" style="48" min="10" max="10"/>
    <col width="8.74" customWidth="1" style="48" min="11" max="26"/>
  </cols>
  <sheetData>
    <row r="1" ht="15.75" customHeight="1" s="49">
      <c r="A1" s="50" t="inlineStr">
        <is>
          <t>Instruction: fill the summary cells (I:J) with the appropriate formulas.</t>
        </is>
      </c>
    </row>
    <row r="2" ht="6" customHeight="1" s="49"/>
    <row r="3" ht="6" customHeight="1" s="49"/>
    <row r="4" ht="21.75" customHeight="1" s="49">
      <c r="A4" s="64" t="inlineStr">
        <is>
          <t>Sales Report (May 2019)</t>
        </is>
      </c>
      <c r="B4" s="65" t="n"/>
      <c r="C4" s="65" t="n"/>
      <c r="D4" s="65" t="n"/>
      <c r="E4" s="65" t="n"/>
      <c r="F4" s="65" t="n"/>
    </row>
    <row r="5" ht="18" customHeight="1" s="49">
      <c r="A5" s="52" t="inlineStr">
        <is>
          <t>Order Date</t>
        </is>
      </c>
      <c r="B5" s="52" t="inlineStr">
        <is>
          <t>Sales Agent Name</t>
        </is>
      </c>
      <c r="C5" s="52" t="inlineStr">
        <is>
          <t>Car Type</t>
        </is>
      </c>
      <c r="D5" s="52" t="inlineStr">
        <is>
          <t>Car Price (EGP)</t>
        </is>
      </c>
      <c r="E5" s="52" t="inlineStr">
        <is>
          <t>Count</t>
        </is>
      </c>
      <c r="F5" s="52" t="inlineStr">
        <is>
          <t>Total Sales (EGP)</t>
        </is>
      </c>
      <c r="I5" s="81" t="inlineStr">
        <is>
          <t>Item</t>
        </is>
      </c>
      <c r="J5" s="81" t="inlineStr">
        <is>
          <t>Amount</t>
        </is>
      </c>
    </row>
    <row r="6" ht="15" customHeight="1" s="49">
      <c r="A6" s="53" t="n">
        <v>43586</v>
      </c>
      <c r="B6" s="54" t="inlineStr">
        <is>
          <t>Ahmed</t>
        </is>
      </c>
      <c r="C6" s="55" t="inlineStr">
        <is>
          <t>Toyota</t>
        </is>
      </c>
      <c r="D6" s="56" t="n">
        <v>590000</v>
      </c>
      <c r="E6" s="57" t="n">
        <v>1</v>
      </c>
      <c r="F6" s="56">
        <f>D6*E6</f>
        <v/>
      </c>
      <c r="I6" s="82" t="inlineStr">
        <is>
          <t>Total Sales Amount</t>
        </is>
      </c>
      <c r="J6" s="83">
        <f>SUM(F6:F35)</f>
        <v/>
      </c>
    </row>
    <row r="7" ht="15" customHeight="1" s="49">
      <c r="A7" s="53" t="n">
        <v>43587</v>
      </c>
      <c r="B7" s="54" t="inlineStr">
        <is>
          <t>Hossam</t>
        </is>
      </c>
      <c r="C7" s="55" t="inlineStr">
        <is>
          <t>Jeep</t>
        </is>
      </c>
      <c r="D7" s="56" t="n">
        <v>750000</v>
      </c>
      <c r="E7" s="57" t="n">
        <v>2</v>
      </c>
      <c r="F7" s="56">
        <f>D7*E7</f>
        <v/>
      </c>
      <c r="I7" s="82" t="inlineStr">
        <is>
          <t>Total Sold Cars</t>
        </is>
      </c>
      <c r="J7" s="83">
        <f>SUM(E6:E35)</f>
        <v/>
      </c>
    </row>
    <row r="8" ht="15" customHeight="1" s="49">
      <c r="A8" s="53" t="n">
        <v>43588</v>
      </c>
      <c r="B8" s="54" t="inlineStr">
        <is>
          <t>Abdullah</t>
        </is>
      </c>
      <c r="C8" s="55" t="inlineStr">
        <is>
          <t>Toyota</t>
        </is>
      </c>
      <c r="D8" s="56" t="n">
        <v>590000</v>
      </c>
      <c r="E8" s="57" t="n">
        <v>1</v>
      </c>
      <c r="F8" s="56">
        <f>D8*E8</f>
        <v/>
      </c>
      <c r="I8" s="82" t="inlineStr">
        <is>
          <t>Count of Orders</t>
        </is>
      </c>
      <c r="J8" s="83">
        <f>COUNTA(A6:A35)</f>
        <v/>
      </c>
    </row>
    <row r="9" ht="15" customHeight="1" s="49">
      <c r="A9" s="53" t="n">
        <v>43589</v>
      </c>
      <c r="B9" s="54" t="inlineStr">
        <is>
          <t>Mona</t>
        </is>
      </c>
      <c r="C9" s="55" t="inlineStr">
        <is>
          <t>Volkswagen</t>
        </is>
      </c>
      <c r="D9" s="56" t="n">
        <v>460000</v>
      </c>
      <c r="E9" s="57" t="n">
        <v>1</v>
      </c>
      <c r="F9" s="56">
        <f>D9*E9</f>
        <v/>
      </c>
      <c r="I9" s="82" t="inlineStr">
        <is>
          <t>Average Order Amount</t>
        </is>
      </c>
      <c r="J9" s="83">
        <f>AVERAGE(F6:F35)</f>
        <v/>
      </c>
    </row>
    <row r="10" ht="15" customHeight="1" s="49">
      <c r="A10" s="53" t="n">
        <v>43590</v>
      </c>
      <c r="B10" s="54" t="inlineStr">
        <is>
          <t>Farida</t>
        </is>
      </c>
      <c r="C10" s="55" t="inlineStr">
        <is>
          <t>BMW</t>
        </is>
      </c>
      <c r="D10" s="56" t="n">
        <v>790000</v>
      </c>
      <c r="E10" s="57" t="n">
        <v>3</v>
      </c>
      <c r="F10" s="56">
        <f>D10*E10</f>
        <v/>
      </c>
    </row>
    <row r="11" ht="15" customHeight="1" s="49">
      <c r="A11" s="53" t="n">
        <v>43591</v>
      </c>
      <c r="B11" s="54" t="inlineStr">
        <is>
          <t>Ahmed</t>
        </is>
      </c>
      <c r="C11" s="55" t="inlineStr">
        <is>
          <t>Kia</t>
        </is>
      </c>
      <c r="D11" s="56" t="n">
        <v>375000</v>
      </c>
      <c r="E11" s="57" t="n">
        <v>2</v>
      </c>
      <c r="F11" s="56">
        <f>D11*E11</f>
        <v/>
      </c>
    </row>
    <row r="12" ht="15" customHeight="1" s="49">
      <c r="A12" s="53" t="n">
        <v>43592</v>
      </c>
      <c r="B12" s="54" t="inlineStr">
        <is>
          <t>Hossam</t>
        </is>
      </c>
      <c r="C12" s="55" t="inlineStr">
        <is>
          <t>Toyota</t>
        </is>
      </c>
      <c r="D12" s="56" t="n">
        <v>590000</v>
      </c>
      <c r="E12" s="57" t="n">
        <v>3</v>
      </c>
      <c r="F12" s="56">
        <f>D12*E12</f>
        <v/>
      </c>
    </row>
    <row r="13" ht="15" customHeight="1" s="49">
      <c r="A13" s="53" t="n">
        <v>43593</v>
      </c>
      <c r="B13" s="54" t="inlineStr">
        <is>
          <t>Ahmed</t>
        </is>
      </c>
      <c r="C13" s="55" t="inlineStr">
        <is>
          <t>Jeep</t>
        </is>
      </c>
      <c r="D13" s="56" t="n">
        <v>750000</v>
      </c>
      <c r="E13" s="57" t="n">
        <v>2</v>
      </c>
      <c r="F13" s="56">
        <f>D13*E13</f>
        <v/>
      </c>
    </row>
    <row r="14" ht="15" customHeight="1" s="49">
      <c r="A14" s="53" t="n">
        <v>43594</v>
      </c>
      <c r="B14" s="54" t="inlineStr">
        <is>
          <t>Mona</t>
        </is>
      </c>
      <c r="C14" s="55" t="inlineStr">
        <is>
          <t>Toyota</t>
        </is>
      </c>
      <c r="D14" s="56" t="n">
        <v>590000</v>
      </c>
      <c r="E14" s="57" t="n">
        <v>3</v>
      </c>
      <c r="F14" s="56">
        <f>D14*E14</f>
        <v/>
      </c>
    </row>
    <row r="15" ht="15" customHeight="1" s="49">
      <c r="A15" s="53" t="n">
        <v>43595</v>
      </c>
      <c r="B15" s="54" t="inlineStr">
        <is>
          <t>Abdullah</t>
        </is>
      </c>
      <c r="C15" s="55" t="inlineStr">
        <is>
          <t>Jeep</t>
        </is>
      </c>
      <c r="D15" s="56" t="n">
        <v>750000</v>
      </c>
      <c r="E15" s="57" t="n">
        <v>2</v>
      </c>
      <c r="F15" s="56">
        <f>D15*E15</f>
        <v/>
      </c>
    </row>
    <row r="16" ht="15" customHeight="1" s="49">
      <c r="A16" s="53" t="n">
        <v>43596</v>
      </c>
      <c r="B16" s="54" t="inlineStr">
        <is>
          <t>Hossam</t>
        </is>
      </c>
      <c r="C16" s="55" t="inlineStr">
        <is>
          <t>Volkswagen</t>
        </is>
      </c>
      <c r="D16" s="56" t="n">
        <v>460000</v>
      </c>
      <c r="E16" s="57" t="n">
        <v>1</v>
      </c>
      <c r="F16" s="56">
        <f>D16*E16</f>
        <v/>
      </c>
    </row>
    <row r="17" ht="15" customHeight="1" s="49">
      <c r="A17" s="53" t="n">
        <v>43597</v>
      </c>
      <c r="B17" s="54" t="inlineStr">
        <is>
          <t>Mona</t>
        </is>
      </c>
      <c r="C17" s="55" t="inlineStr">
        <is>
          <t>Volkswagen</t>
        </is>
      </c>
      <c r="D17" s="56" t="n">
        <v>460000</v>
      </c>
      <c r="E17" s="57" t="n">
        <v>1</v>
      </c>
      <c r="F17" s="56">
        <f>D17*E17</f>
        <v/>
      </c>
    </row>
    <row r="18" ht="15" customHeight="1" s="49">
      <c r="A18" s="53" t="n">
        <v>43598</v>
      </c>
      <c r="B18" s="54" t="inlineStr">
        <is>
          <t>Farida</t>
        </is>
      </c>
      <c r="C18" s="55" t="inlineStr">
        <is>
          <t>Jeep</t>
        </is>
      </c>
      <c r="D18" s="56" t="n">
        <v>750000</v>
      </c>
      <c r="E18" s="57" t="n">
        <v>1</v>
      </c>
      <c r="F18" s="56">
        <f>D18*E18</f>
        <v/>
      </c>
    </row>
    <row r="19" ht="15" customHeight="1" s="49">
      <c r="A19" s="53" t="n">
        <v>43599</v>
      </c>
      <c r="B19" s="54" t="inlineStr">
        <is>
          <t>Farida</t>
        </is>
      </c>
      <c r="C19" s="55" t="inlineStr">
        <is>
          <t>Toyota</t>
        </is>
      </c>
      <c r="D19" s="56" t="n">
        <v>590000</v>
      </c>
      <c r="E19" s="57" t="n">
        <v>2</v>
      </c>
      <c r="F19" s="56">
        <f>D19*E19</f>
        <v/>
      </c>
    </row>
    <row r="20" ht="15" customHeight="1" s="49">
      <c r="A20" s="53" t="n">
        <v>43600</v>
      </c>
      <c r="B20" s="54" t="inlineStr">
        <is>
          <t>Ahmed</t>
        </is>
      </c>
      <c r="C20" s="55" t="inlineStr">
        <is>
          <t>Kia</t>
        </is>
      </c>
      <c r="D20" s="56" t="n">
        <v>375000</v>
      </c>
      <c r="E20" s="57" t="n">
        <v>2</v>
      </c>
      <c r="F20" s="56">
        <f>D20*E20</f>
        <v/>
      </c>
    </row>
    <row r="21" ht="15.75" customHeight="1" s="49">
      <c r="A21" s="53" t="n">
        <v>43601</v>
      </c>
      <c r="B21" s="54" t="inlineStr">
        <is>
          <t>Hossam</t>
        </is>
      </c>
      <c r="C21" s="55" t="inlineStr">
        <is>
          <t>BMW</t>
        </is>
      </c>
      <c r="D21" s="56" t="n">
        <v>790000</v>
      </c>
      <c r="E21" s="57" t="n">
        <v>1</v>
      </c>
      <c r="F21" s="56">
        <f>D21*E21</f>
        <v/>
      </c>
    </row>
    <row r="22" ht="15.75" customHeight="1" s="49">
      <c r="A22" s="53" t="n">
        <v>43602</v>
      </c>
      <c r="B22" s="54" t="inlineStr">
        <is>
          <t>Abdullah</t>
        </is>
      </c>
      <c r="C22" s="55" t="inlineStr">
        <is>
          <t>BMW</t>
        </is>
      </c>
      <c r="D22" s="56" t="n">
        <v>790000</v>
      </c>
      <c r="E22" s="57" t="n">
        <v>1</v>
      </c>
      <c r="F22" s="56">
        <f>D22*E22</f>
        <v/>
      </c>
    </row>
    <row r="23" ht="15.75" customHeight="1" s="49">
      <c r="A23" s="53" t="n">
        <v>43603</v>
      </c>
      <c r="B23" s="54" t="inlineStr">
        <is>
          <t>Ali</t>
        </is>
      </c>
      <c r="C23" s="55" t="inlineStr">
        <is>
          <t>Toyota</t>
        </is>
      </c>
      <c r="D23" s="56" t="n">
        <v>590000</v>
      </c>
      <c r="E23" s="57" t="n">
        <v>2</v>
      </c>
      <c r="F23" s="56">
        <f>D23*E23</f>
        <v/>
      </c>
    </row>
    <row r="24" ht="15.75" customHeight="1" s="49">
      <c r="A24" s="53" t="n">
        <v>43604</v>
      </c>
      <c r="B24" s="54" t="inlineStr">
        <is>
          <t>Hossam</t>
        </is>
      </c>
      <c r="C24" s="55" t="inlineStr">
        <is>
          <t>Kia</t>
        </is>
      </c>
      <c r="D24" s="56" t="n">
        <v>375000</v>
      </c>
      <c r="E24" s="57" t="n">
        <v>2</v>
      </c>
      <c r="F24" s="56">
        <f>D24*E24</f>
        <v/>
      </c>
    </row>
    <row r="25" ht="15.75" customHeight="1" s="49">
      <c r="A25" s="53" t="n">
        <v>43605</v>
      </c>
      <c r="B25" s="54" t="inlineStr">
        <is>
          <t>Ali</t>
        </is>
      </c>
      <c r="C25" s="55" t="inlineStr">
        <is>
          <t>Toyota</t>
        </is>
      </c>
      <c r="D25" s="56" t="n">
        <v>590000</v>
      </c>
      <c r="E25" s="57" t="n">
        <v>1</v>
      </c>
      <c r="F25" s="56">
        <f>D25*E25</f>
        <v/>
      </c>
    </row>
    <row r="26" ht="15.75" customHeight="1" s="49">
      <c r="A26" s="53" t="n">
        <v>43606</v>
      </c>
      <c r="B26" s="54" t="inlineStr">
        <is>
          <t>Farida</t>
        </is>
      </c>
      <c r="C26" s="55" t="inlineStr">
        <is>
          <t>Jeep</t>
        </is>
      </c>
      <c r="D26" s="56" t="n">
        <v>750000</v>
      </c>
      <c r="E26" s="57" t="n">
        <v>1</v>
      </c>
      <c r="F26" s="56">
        <f>D26*E26</f>
        <v/>
      </c>
    </row>
    <row r="27" ht="15.75" customHeight="1" s="49">
      <c r="A27" s="53" t="n">
        <v>43607</v>
      </c>
      <c r="B27" s="54" t="inlineStr">
        <is>
          <t>Abdullah</t>
        </is>
      </c>
      <c r="C27" s="55" t="inlineStr">
        <is>
          <t>Volkswagen</t>
        </is>
      </c>
      <c r="D27" s="56" t="n">
        <v>460000</v>
      </c>
      <c r="E27" s="57" t="n">
        <v>1</v>
      </c>
      <c r="F27" s="56">
        <f>D27*E27</f>
        <v/>
      </c>
    </row>
    <row r="28" ht="15.75" customHeight="1" s="49">
      <c r="A28" s="53" t="n">
        <v>43608</v>
      </c>
      <c r="B28" s="54" t="inlineStr">
        <is>
          <t>Abdullah</t>
        </is>
      </c>
      <c r="C28" s="55" t="inlineStr">
        <is>
          <t>Volkswagen</t>
        </is>
      </c>
      <c r="D28" s="56" t="n">
        <v>460000</v>
      </c>
      <c r="E28" s="57" t="n">
        <v>3</v>
      </c>
      <c r="F28" s="56">
        <f>D28*E28</f>
        <v/>
      </c>
    </row>
    <row r="29" ht="15.75" customHeight="1" s="49">
      <c r="A29" s="53" t="n">
        <v>43609</v>
      </c>
      <c r="B29" s="54" t="inlineStr">
        <is>
          <t>Farida</t>
        </is>
      </c>
      <c r="C29" s="55" t="inlineStr">
        <is>
          <t>Kia</t>
        </is>
      </c>
      <c r="D29" s="56" t="n">
        <v>375000</v>
      </c>
      <c r="E29" s="57" t="n">
        <v>1</v>
      </c>
      <c r="F29" s="56">
        <f>D29*E29</f>
        <v/>
      </c>
    </row>
    <row r="30" ht="15.75" customHeight="1" s="49">
      <c r="A30" s="53" t="n">
        <v>43610</v>
      </c>
      <c r="B30" s="54" t="inlineStr">
        <is>
          <t>Ahmed</t>
        </is>
      </c>
      <c r="C30" s="55" t="inlineStr">
        <is>
          <t>BMW</t>
        </is>
      </c>
      <c r="D30" s="56" t="n">
        <v>790000</v>
      </c>
      <c r="E30" s="57" t="n">
        <v>2</v>
      </c>
      <c r="F30" s="56">
        <f>D30*E30</f>
        <v/>
      </c>
    </row>
    <row r="31" ht="15.75" customHeight="1" s="49">
      <c r="A31" s="53" t="n">
        <v>43611</v>
      </c>
      <c r="B31" s="54" t="inlineStr">
        <is>
          <t>Mona</t>
        </is>
      </c>
      <c r="C31" s="55" t="inlineStr">
        <is>
          <t>Toyota</t>
        </is>
      </c>
      <c r="D31" s="56" t="n">
        <v>590000</v>
      </c>
      <c r="E31" s="57" t="n">
        <v>1</v>
      </c>
      <c r="F31" s="56">
        <f>D31*E31</f>
        <v/>
      </c>
    </row>
    <row r="32" ht="15.75" customHeight="1" s="49">
      <c r="A32" s="53" t="n">
        <v>43612</v>
      </c>
      <c r="B32" s="54" t="inlineStr">
        <is>
          <t>Hossam</t>
        </is>
      </c>
      <c r="C32" s="55" t="inlineStr">
        <is>
          <t>Kia</t>
        </is>
      </c>
      <c r="D32" s="56" t="n">
        <v>375000</v>
      </c>
      <c r="E32" s="57" t="n">
        <v>2</v>
      </c>
      <c r="F32" s="56">
        <f>D32*E32</f>
        <v/>
      </c>
    </row>
    <row r="33" ht="15.75" customHeight="1" s="49">
      <c r="A33" s="53" t="n">
        <v>43613</v>
      </c>
      <c r="B33" s="54" t="inlineStr">
        <is>
          <t>Ahmed</t>
        </is>
      </c>
      <c r="C33" s="55" t="inlineStr">
        <is>
          <t>Toyota</t>
        </is>
      </c>
      <c r="D33" s="56" t="n">
        <v>590000</v>
      </c>
      <c r="E33" s="57" t="n">
        <v>3</v>
      </c>
      <c r="F33" s="56">
        <f>D33*E33</f>
        <v/>
      </c>
    </row>
    <row r="34" ht="15.75" customHeight="1" s="49">
      <c r="A34" s="53" t="n">
        <v>43614</v>
      </c>
      <c r="B34" s="54" t="inlineStr">
        <is>
          <t>Hossam</t>
        </is>
      </c>
      <c r="C34" s="55" t="inlineStr">
        <is>
          <t>Jeep</t>
        </is>
      </c>
      <c r="D34" s="56" t="n">
        <v>750000</v>
      </c>
      <c r="E34" s="57" t="n">
        <v>1</v>
      </c>
      <c r="F34" s="56">
        <f>D34*E34</f>
        <v/>
      </c>
    </row>
    <row r="35" ht="15.75" customHeight="1" s="49">
      <c r="A35" s="53" t="n">
        <v>43615</v>
      </c>
      <c r="B35" s="54" t="inlineStr">
        <is>
          <t>Ali</t>
        </is>
      </c>
      <c r="C35" s="55" t="inlineStr">
        <is>
          <t>Volkswagen</t>
        </is>
      </c>
      <c r="D35" s="56" t="n">
        <v>460000</v>
      </c>
      <c r="E35" s="57" t="n">
        <v>1</v>
      </c>
      <c r="F35" s="56">
        <f>D35*E35</f>
        <v/>
      </c>
    </row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autoFilter ref="A5:F35"/>
  <mergeCells count="2">
    <mergeCell ref="A1:F1"/>
    <mergeCell ref="A4:F4"/>
  </mergeCells>
  <conditionalFormatting sqref="A6:F35">
    <cfRule type="expression" rank="0" priority="2" equalAverage="0" aboveAverage="0" dxfId="0" text="" percent="0" bottom="0">
      <formula>MOD(ROW(),2)=0</formula>
    </cfRule>
  </conditionalFormatting>
  <dataValidations count="1">
    <dataValidation sqref="C6:C35" showDropDown="0" showInputMessage="0" showErrorMessage="1" allowBlank="1" errorTitle="Unknown car type" error="Choose a car type from the list. A typed value breaks the price lookup." promptTitle="Car Type" prompt="Pick one of the six models in the price table." type="list">
      <formula1>"Toyota,Jeep,Volkswagen,BMW,Kia,Mazda"</formula1>
    </dataValidation>
  </dataValidations>
  <printOptions horizontalCentered="1" verticalCentered="0" headings="0" gridLines="0" gridLinesSet="1"/>
  <pageMargins left="0.4" right="0.4" top="0.5" bottom="0.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F5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14.390625" defaultRowHeight="15" zeroHeight="0" outlineLevelRow="0"/>
  <cols>
    <col width="16" customWidth="1" style="48" min="1" max="1"/>
    <col width="18" customWidth="1" style="48" min="2" max="3"/>
    <col width="20" customWidth="1" style="48" min="4" max="5"/>
    <col width="18" customWidth="1" style="48" min="6" max="6"/>
    <col width="8.74" customWidth="1" style="48" min="7" max="26"/>
  </cols>
  <sheetData>
    <row r="1" ht="15.75" customHeight="1" s="49">
      <c r="A1" s="50" t="inlineStr">
        <is>
          <t>Instruction: build a results report for each Sales Person and identify the Best Sales Person.</t>
        </is>
      </c>
    </row>
    <row r="2" ht="6" customHeight="1" s="49">
      <c r="A2" s="71" t="n"/>
    </row>
    <row r="3" ht="6" customHeight="1" s="49"/>
    <row r="4" ht="21.75" customHeight="1" s="49">
      <c r="A4" s="64" t="inlineStr">
        <is>
          <t>Sales Report (May 2019)</t>
        </is>
      </c>
      <c r="B4" s="65" t="n"/>
      <c r="C4" s="65" t="n"/>
      <c r="D4" s="64" t="n"/>
      <c r="E4" s="64" t="n"/>
      <c r="F4" s="64" t="n"/>
    </row>
    <row r="5" ht="18" customHeight="1" s="49">
      <c r="A5" s="52" t="inlineStr">
        <is>
          <t>Order Date</t>
        </is>
      </c>
      <c r="B5" s="52" t="inlineStr">
        <is>
          <t>Sales Agent Name</t>
        </is>
      </c>
      <c r="C5" s="52" t="inlineStr">
        <is>
          <t>Car Type</t>
        </is>
      </c>
      <c r="D5" s="52" t="inlineStr">
        <is>
          <t>Car Price (EGP)</t>
        </is>
      </c>
      <c r="E5" s="52" t="inlineStr">
        <is>
          <t>Count</t>
        </is>
      </c>
      <c r="F5" s="52" t="inlineStr">
        <is>
          <t>Total Sales (EGP)</t>
        </is>
      </c>
    </row>
    <row r="6" ht="15" customHeight="1" s="49">
      <c r="A6" s="53" t="n">
        <v>43586</v>
      </c>
      <c r="B6" s="54" t="inlineStr">
        <is>
          <t>Ahmed</t>
        </is>
      </c>
      <c r="C6" s="55" t="inlineStr">
        <is>
          <t>Toyota</t>
        </is>
      </c>
      <c r="D6" s="56" t="n">
        <v>590000</v>
      </c>
      <c r="E6" s="57" t="n">
        <v>1</v>
      </c>
      <c r="F6" s="56">
        <f>D6*E6</f>
        <v/>
      </c>
    </row>
    <row r="7" ht="15" customHeight="1" s="49">
      <c r="A7" s="53" t="n">
        <v>43587</v>
      </c>
      <c r="B7" s="54" t="inlineStr">
        <is>
          <t>Hossam</t>
        </is>
      </c>
      <c r="C7" s="55" t="inlineStr">
        <is>
          <t>Jeep</t>
        </is>
      </c>
      <c r="D7" s="56" t="n">
        <v>750000</v>
      </c>
      <c r="E7" s="57" t="n">
        <v>2</v>
      </c>
      <c r="F7" s="56">
        <f>D7*E7</f>
        <v/>
      </c>
    </row>
    <row r="8" ht="15" customHeight="1" s="49">
      <c r="A8" s="53" t="n">
        <v>43588</v>
      </c>
      <c r="B8" s="54" t="inlineStr">
        <is>
          <t>Abdullah</t>
        </is>
      </c>
      <c r="C8" s="55" t="inlineStr">
        <is>
          <t>Toyota</t>
        </is>
      </c>
      <c r="D8" s="56" t="n">
        <v>590000</v>
      </c>
      <c r="E8" s="57" t="n">
        <v>1</v>
      </c>
      <c r="F8" s="56">
        <f>D8*E8</f>
        <v/>
      </c>
    </row>
    <row r="9" ht="15" customHeight="1" s="49">
      <c r="A9" s="53" t="n">
        <v>43589</v>
      </c>
      <c r="B9" s="54" t="inlineStr">
        <is>
          <t>Mona</t>
        </is>
      </c>
      <c r="C9" s="55" t="inlineStr">
        <is>
          <t>Volkswagen</t>
        </is>
      </c>
      <c r="D9" s="56" t="n">
        <v>460000</v>
      </c>
      <c r="E9" s="57" t="n">
        <v>1</v>
      </c>
      <c r="F9" s="56">
        <f>D9*E9</f>
        <v/>
      </c>
    </row>
    <row r="10" ht="15" customHeight="1" s="49">
      <c r="A10" s="53" t="n">
        <v>43590</v>
      </c>
      <c r="B10" s="54" t="inlineStr">
        <is>
          <t>Farida</t>
        </is>
      </c>
      <c r="C10" s="55" t="inlineStr">
        <is>
          <t>BMW</t>
        </is>
      </c>
      <c r="D10" s="56" t="n">
        <v>790000</v>
      </c>
      <c r="E10" s="57" t="n">
        <v>3</v>
      </c>
      <c r="F10" s="56">
        <f>D10*E10</f>
        <v/>
      </c>
    </row>
    <row r="11" ht="15" customHeight="1" s="49">
      <c r="A11" s="53" t="n">
        <v>43591</v>
      </c>
      <c r="B11" s="54" t="inlineStr">
        <is>
          <t>Ahmed</t>
        </is>
      </c>
      <c r="C11" s="55" t="inlineStr">
        <is>
          <t>Kia</t>
        </is>
      </c>
      <c r="D11" s="56" t="n">
        <v>375000</v>
      </c>
      <c r="E11" s="57" t="n">
        <v>2</v>
      </c>
      <c r="F11" s="56">
        <f>D11*E11</f>
        <v/>
      </c>
    </row>
    <row r="12" ht="15" customHeight="1" s="49">
      <c r="A12" s="53" t="n">
        <v>43592</v>
      </c>
      <c r="B12" s="54" t="inlineStr">
        <is>
          <t>Hossam</t>
        </is>
      </c>
      <c r="C12" s="55" t="inlineStr">
        <is>
          <t>Toyota</t>
        </is>
      </c>
      <c r="D12" s="56" t="n">
        <v>590000</v>
      </c>
      <c r="E12" s="57" t="n">
        <v>3</v>
      </c>
      <c r="F12" s="56">
        <f>D12*E12</f>
        <v/>
      </c>
    </row>
    <row r="13" ht="15" customHeight="1" s="49">
      <c r="A13" s="53" t="n">
        <v>43593</v>
      </c>
      <c r="B13" s="54" t="inlineStr">
        <is>
          <t>Ahmed</t>
        </is>
      </c>
      <c r="C13" s="55" t="inlineStr">
        <is>
          <t>Jeep</t>
        </is>
      </c>
      <c r="D13" s="56" t="n">
        <v>750000</v>
      </c>
      <c r="E13" s="57" t="n">
        <v>2</v>
      </c>
      <c r="F13" s="56">
        <f>D13*E13</f>
        <v/>
      </c>
    </row>
    <row r="14" ht="15" customHeight="1" s="49">
      <c r="A14" s="53" t="n">
        <v>43594</v>
      </c>
      <c r="B14" s="54" t="inlineStr">
        <is>
          <t>Mona</t>
        </is>
      </c>
      <c r="C14" s="55" t="inlineStr">
        <is>
          <t>Toyota</t>
        </is>
      </c>
      <c r="D14" s="56" t="n">
        <v>590000</v>
      </c>
      <c r="E14" s="57" t="n">
        <v>3</v>
      </c>
      <c r="F14" s="56">
        <f>D14*E14</f>
        <v/>
      </c>
    </row>
    <row r="15" ht="15" customHeight="1" s="49">
      <c r="A15" s="53" t="n">
        <v>43595</v>
      </c>
      <c r="B15" s="54" t="inlineStr">
        <is>
          <t>Abdullah</t>
        </is>
      </c>
      <c r="C15" s="55" t="inlineStr">
        <is>
          <t>Jeep</t>
        </is>
      </c>
      <c r="D15" s="56" t="n">
        <v>750000</v>
      </c>
      <c r="E15" s="57" t="n">
        <v>2</v>
      </c>
      <c r="F15" s="56">
        <f>D15*E15</f>
        <v/>
      </c>
    </row>
    <row r="16" ht="15" customHeight="1" s="49">
      <c r="A16" s="53" t="n">
        <v>43596</v>
      </c>
      <c r="B16" s="54" t="inlineStr">
        <is>
          <t>Hossam</t>
        </is>
      </c>
      <c r="C16" s="55" t="inlineStr">
        <is>
          <t>Volkswagen</t>
        </is>
      </c>
      <c r="D16" s="56" t="n">
        <v>460000</v>
      </c>
      <c r="E16" s="57" t="n">
        <v>1</v>
      </c>
      <c r="F16" s="56">
        <f>D16*E16</f>
        <v/>
      </c>
    </row>
    <row r="17" ht="15" customHeight="1" s="49">
      <c r="A17" s="53" t="n">
        <v>43597</v>
      </c>
      <c r="B17" s="54" t="inlineStr">
        <is>
          <t>Mona</t>
        </is>
      </c>
      <c r="C17" s="55" t="inlineStr">
        <is>
          <t>Volkswagen</t>
        </is>
      </c>
      <c r="D17" s="56" t="n">
        <v>460000</v>
      </c>
      <c r="E17" s="57" t="n">
        <v>1</v>
      </c>
      <c r="F17" s="56">
        <f>D17*E17</f>
        <v/>
      </c>
    </row>
    <row r="18" ht="15" customHeight="1" s="49">
      <c r="A18" s="53" t="n">
        <v>43598</v>
      </c>
      <c r="B18" s="54" t="inlineStr">
        <is>
          <t>Farida</t>
        </is>
      </c>
      <c r="C18" s="55" t="inlineStr">
        <is>
          <t>Jeep</t>
        </is>
      </c>
      <c r="D18" s="56" t="n">
        <v>750000</v>
      </c>
      <c r="E18" s="57" t="n">
        <v>1</v>
      </c>
      <c r="F18" s="56">
        <f>D18*E18</f>
        <v/>
      </c>
    </row>
    <row r="19" ht="15" customHeight="1" s="49">
      <c r="A19" s="53" t="n">
        <v>43599</v>
      </c>
      <c r="B19" s="54" t="inlineStr">
        <is>
          <t>Farida</t>
        </is>
      </c>
      <c r="C19" s="55" t="inlineStr">
        <is>
          <t>Toyota</t>
        </is>
      </c>
      <c r="D19" s="56" t="n">
        <v>590000</v>
      </c>
      <c r="E19" s="57" t="n">
        <v>2</v>
      </c>
      <c r="F19" s="56">
        <f>D19*E19</f>
        <v/>
      </c>
    </row>
    <row r="20" ht="15" customHeight="1" s="49">
      <c r="A20" s="53" t="n">
        <v>43600</v>
      </c>
      <c r="B20" s="54" t="inlineStr">
        <is>
          <t>Ahmed</t>
        </is>
      </c>
      <c r="C20" s="55" t="inlineStr">
        <is>
          <t>Kia</t>
        </is>
      </c>
      <c r="D20" s="56" t="n">
        <v>375000</v>
      </c>
      <c r="E20" s="57" t="n">
        <v>2</v>
      </c>
      <c r="F20" s="56">
        <f>D20*E20</f>
        <v/>
      </c>
    </row>
    <row r="21" ht="15.75" customHeight="1" s="49">
      <c r="A21" s="53" t="n">
        <v>43601</v>
      </c>
      <c r="B21" s="54" t="inlineStr">
        <is>
          <t>Hossam</t>
        </is>
      </c>
      <c r="C21" s="55" t="inlineStr">
        <is>
          <t>BMW</t>
        </is>
      </c>
      <c r="D21" s="56" t="n">
        <v>790000</v>
      </c>
      <c r="E21" s="57" t="n">
        <v>1</v>
      </c>
      <c r="F21" s="56">
        <f>D21*E21</f>
        <v/>
      </c>
    </row>
    <row r="22" ht="15.75" customHeight="1" s="49">
      <c r="A22" s="53" t="n">
        <v>43602</v>
      </c>
      <c r="B22" s="54" t="inlineStr">
        <is>
          <t>Abdullah</t>
        </is>
      </c>
      <c r="C22" s="55" t="inlineStr">
        <is>
          <t>BMW</t>
        </is>
      </c>
      <c r="D22" s="56" t="n">
        <v>790000</v>
      </c>
      <c r="E22" s="57" t="n">
        <v>1</v>
      </c>
      <c r="F22" s="56">
        <f>D22*E22</f>
        <v/>
      </c>
    </row>
    <row r="23" ht="15.75" customHeight="1" s="49">
      <c r="A23" s="53" t="n">
        <v>43603</v>
      </c>
      <c r="B23" s="54" t="inlineStr">
        <is>
          <t>Ali</t>
        </is>
      </c>
      <c r="C23" s="55" t="inlineStr">
        <is>
          <t>Toyota</t>
        </is>
      </c>
      <c r="D23" s="56" t="n">
        <v>590000</v>
      </c>
      <c r="E23" s="57" t="n">
        <v>2</v>
      </c>
      <c r="F23" s="56">
        <f>D23*E23</f>
        <v/>
      </c>
    </row>
    <row r="24" ht="15.75" customHeight="1" s="49">
      <c r="A24" s="53" t="n">
        <v>43604</v>
      </c>
      <c r="B24" s="54" t="inlineStr">
        <is>
          <t>Hossam</t>
        </is>
      </c>
      <c r="C24" s="55" t="inlineStr">
        <is>
          <t>Kia</t>
        </is>
      </c>
      <c r="D24" s="56" t="n">
        <v>375000</v>
      </c>
      <c r="E24" s="57" t="n">
        <v>2</v>
      </c>
      <c r="F24" s="56">
        <f>D24*E24</f>
        <v/>
      </c>
    </row>
    <row r="25" ht="15.75" customHeight="1" s="49">
      <c r="A25" s="53" t="n">
        <v>43605</v>
      </c>
      <c r="B25" s="54" t="inlineStr">
        <is>
          <t>Ali</t>
        </is>
      </c>
      <c r="C25" s="55" t="inlineStr">
        <is>
          <t>Toyota</t>
        </is>
      </c>
      <c r="D25" s="56" t="n">
        <v>590000</v>
      </c>
      <c r="E25" s="57" t="n">
        <v>1</v>
      </c>
      <c r="F25" s="56">
        <f>D25*E25</f>
        <v/>
      </c>
    </row>
    <row r="26" ht="15.75" customHeight="1" s="49">
      <c r="A26" s="53" t="n">
        <v>43606</v>
      </c>
      <c r="B26" s="54" t="inlineStr">
        <is>
          <t>Farida</t>
        </is>
      </c>
      <c r="C26" s="55" t="inlineStr">
        <is>
          <t>Jeep</t>
        </is>
      </c>
      <c r="D26" s="56" t="n">
        <v>750000</v>
      </c>
      <c r="E26" s="57" t="n">
        <v>1</v>
      </c>
      <c r="F26" s="56">
        <f>D26*E26</f>
        <v/>
      </c>
    </row>
    <row r="27" ht="15.75" customHeight="1" s="49">
      <c r="A27" s="53" t="n">
        <v>43607</v>
      </c>
      <c r="B27" s="54" t="inlineStr">
        <is>
          <t>Abdullah</t>
        </is>
      </c>
      <c r="C27" s="55" t="inlineStr">
        <is>
          <t>Volkswagen</t>
        </is>
      </c>
      <c r="D27" s="56" t="n">
        <v>460000</v>
      </c>
      <c r="E27" s="57" t="n">
        <v>1</v>
      </c>
      <c r="F27" s="56">
        <f>D27*E27</f>
        <v/>
      </c>
    </row>
    <row r="28" ht="15.75" customHeight="1" s="49">
      <c r="A28" s="53" t="n">
        <v>43608</v>
      </c>
      <c r="B28" s="54" t="inlineStr">
        <is>
          <t>Abdullah</t>
        </is>
      </c>
      <c r="C28" s="55" t="inlineStr">
        <is>
          <t>Volkswagen</t>
        </is>
      </c>
      <c r="D28" s="56" t="n">
        <v>460000</v>
      </c>
      <c r="E28" s="57" t="n">
        <v>3</v>
      </c>
      <c r="F28" s="56">
        <f>D28*E28</f>
        <v/>
      </c>
    </row>
    <row r="29" ht="15.75" customHeight="1" s="49">
      <c r="A29" s="53" t="n">
        <v>43609</v>
      </c>
      <c r="B29" s="54" t="inlineStr">
        <is>
          <t>Farida</t>
        </is>
      </c>
      <c r="C29" s="55" t="inlineStr">
        <is>
          <t>Kia</t>
        </is>
      </c>
      <c r="D29" s="56" t="n">
        <v>375000</v>
      </c>
      <c r="E29" s="57" t="n">
        <v>1</v>
      </c>
      <c r="F29" s="56">
        <f>D29*E29</f>
        <v/>
      </c>
    </row>
    <row r="30" ht="15.75" customHeight="1" s="49">
      <c r="A30" s="53" t="n">
        <v>43610</v>
      </c>
      <c r="B30" s="54" t="inlineStr">
        <is>
          <t>Ahmed</t>
        </is>
      </c>
      <c r="C30" s="55" t="inlineStr">
        <is>
          <t>BMW</t>
        </is>
      </c>
      <c r="D30" s="56" t="n">
        <v>790000</v>
      </c>
      <c r="E30" s="57" t="n">
        <v>2</v>
      </c>
      <c r="F30" s="56">
        <f>D30*E30</f>
        <v/>
      </c>
    </row>
    <row r="31" ht="15.75" customHeight="1" s="49">
      <c r="A31" s="53" t="n">
        <v>43611</v>
      </c>
      <c r="B31" s="54" t="inlineStr">
        <is>
          <t>Mona</t>
        </is>
      </c>
      <c r="C31" s="55" t="inlineStr">
        <is>
          <t>Toyota</t>
        </is>
      </c>
      <c r="D31" s="56" t="n">
        <v>590000</v>
      </c>
      <c r="E31" s="57" t="n">
        <v>1</v>
      </c>
      <c r="F31" s="56">
        <f>D31*E31</f>
        <v/>
      </c>
    </row>
    <row r="32" ht="15.75" customHeight="1" s="49">
      <c r="A32" s="53" t="n">
        <v>43612</v>
      </c>
      <c r="B32" s="54" t="inlineStr">
        <is>
          <t>Hossam</t>
        </is>
      </c>
      <c r="C32" s="55" t="inlineStr">
        <is>
          <t>Kia</t>
        </is>
      </c>
      <c r="D32" s="56" t="n">
        <v>375000</v>
      </c>
      <c r="E32" s="57" t="n">
        <v>2</v>
      </c>
      <c r="F32" s="56">
        <f>D32*E32</f>
        <v/>
      </c>
    </row>
    <row r="33" ht="15.75" customHeight="1" s="49">
      <c r="A33" s="53" t="n">
        <v>43613</v>
      </c>
      <c r="B33" s="54" t="inlineStr">
        <is>
          <t>Ahmed</t>
        </is>
      </c>
      <c r="C33" s="55" t="inlineStr">
        <is>
          <t>Toyota</t>
        </is>
      </c>
      <c r="D33" s="56" t="n">
        <v>590000</v>
      </c>
      <c r="E33" s="57" t="n">
        <v>3</v>
      </c>
      <c r="F33" s="56">
        <f>D33*E33</f>
        <v/>
      </c>
    </row>
    <row r="34" ht="15.75" customHeight="1" s="49">
      <c r="A34" s="53" t="n">
        <v>43614</v>
      </c>
      <c r="B34" s="54" t="inlineStr">
        <is>
          <t>Hossam</t>
        </is>
      </c>
      <c r="C34" s="55" t="inlineStr">
        <is>
          <t>Jeep</t>
        </is>
      </c>
      <c r="D34" s="56" t="n">
        <v>750000</v>
      </c>
      <c r="E34" s="57" t="n">
        <v>1</v>
      </c>
      <c r="F34" s="56">
        <f>D34*E34</f>
        <v/>
      </c>
    </row>
    <row r="35" ht="15.75" customHeight="1" s="49">
      <c r="A35" s="53" t="n">
        <v>43615</v>
      </c>
      <c r="B35" s="54" t="inlineStr">
        <is>
          <t>Ali</t>
        </is>
      </c>
      <c r="C35" s="55" t="inlineStr">
        <is>
          <t>Volkswagen</t>
        </is>
      </c>
      <c r="D35" s="56" t="n">
        <v>460000</v>
      </c>
      <c r="E35" s="57" t="n">
        <v>1</v>
      </c>
      <c r="F35" s="56">
        <f>D35*E35</f>
        <v/>
      </c>
    </row>
    <row r="36" ht="15.75" customHeight="1" s="49"/>
    <row r="37" ht="15.75" customHeight="1" s="49"/>
    <row r="38" ht="21.75" customHeight="1" s="49">
      <c r="A38" s="51" t="inlineStr">
        <is>
          <t>Sales Report per Sales Person</t>
        </is>
      </c>
    </row>
    <row r="39" ht="30" customHeight="1" s="49">
      <c r="A39" s="84" t="inlineStr">
        <is>
          <t>Sales Person</t>
        </is>
      </c>
      <c r="B39" s="84" t="inlineStr">
        <is>
          <t>Count of Orders</t>
        </is>
      </c>
      <c r="C39" s="84" t="inlineStr">
        <is>
          <t>Total Cars Sold</t>
        </is>
      </c>
      <c r="D39" s="84" t="inlineStr">
        <is>
          <t>Total Sales Amount (EGP)</t>
        </is>
      </c>
      <c r="E39" s="84" t="inlineStr">
        <is>
          <t>Average Order Amount (EGP)</t>
        </is>
      </c>
    </row>
    <row r="40" ht="15.75" customHeight="1" s="49">
      <c r="A40" s="54" t="inlineStr">
        <is>
          <t>Ahmed</t>
        </is>
      </c>
      <c r="B40" s="57">
        <f>COUNTIF($B$6:$B$35,A40)</f>
        <v/>
      </c>
      <c r="C40" s="57">
        <f>SUMIF($B$6:$B$35,A40,$E$6:$E$35)</f>
        <v/>
      </c>
      <c r="D40" s="56">
        <f>SUMIF($B$6:$B$35,A40,$F$6:$F$35)</f>
        <v/>
      </c>
      <c r="E40" s="56">
        <f>AVERAGEIF($B$6:$B$35,A40,$F$6:$F$35)</f>
        <v/>
      </c>
    </row>
    <row r="41" ht="15.75" customHeight="1" s="49">
      <c r="A41" s="54" t="inlineStr">
        <is>
          <t>Hossam</t>
        </is>
      </c>
      <c r="B41" s="57">
        <f>COUNTIF($B$6:$B$35,A41)</f>
        <v/>
      </c>
      <c r="C41" s="57">
        <f>SUMIF($B$6:$B$35,A41,$E$6:$E$35)</f>
        <v/>
      </c>
      <c r="D41" s="56">
        <f>SUMIF($B$6:$B$35,A41,$F$6:$F$35)</f>
        <v/>
      </c>
      <c r="E41" s="56">
        <f>AVERAGEIF($B$6:$B$35,A41,$F$6:$F$35)</f>
        <v/>
      </c>
    </row>
    <row r="42" ht="15.75" customHeight="1" s="49">
      <c r="A42" s="54" t="inlineStr">
        <is>
          <t>Abdullah</t>
        </is>
      </c>
      <c r="B42" s="57">
        <f>COUNTIF($B$6:$B$35,A42)</f>
        <v/>
      </c>
      <c r="C42" s="57">
        <f>SUMIF($B$6:$B$35,A42,$E$6:$E$35)</f>
        <v/>
      </c>
      <c r="D42" s="56">
        <f>SUMIF($B$6:$B$35,A42,$F$6:$F$35)</f>
        <v/>
      </c>
      <c r="E42" s="56">
        <f>AVERAGEIF($B$6:$B$35,A42,$F$6:$F$35)</f>
        <v/>
      </c>
    </row>
    <row r="43" ht="15.75" customHeight="1" s="49">
      <c r="A43" s="54" t="inlineStr">
        <is>
          <t>Mona</t>
        </is>
      </c>
      <c r="B43" s="57">
        <f>COUNTIF($B$6:$B$35,A43)</f>
        <v/>
      </c>
      <c r="C43" s="57">
        <f>SUMIF($B$6:$B$35,A43,$E$6:$E$35)</f>
        <v/>
      </c>
      <c r="D43" s="56">
        <f>SUMIF($B$6:$B$35,A43,$F$6:$F$35)</f>
        <v/>
      </c>
      <c r="E43" s="56">
        <f>AVERAGEIF($B$6:$B$35,A43,$F$6:$F$35)</f>
        <v/>
      </c>
    </row>
    <row r="44" ht="15.75" customHeight="1" s="49">
      <c r="A44" s="54" t="inlineStr">
        <is>
          <t>Farida</t>
        </is>
      </c>
      <c r="B44" s="57">
        <f>COUNTIF($B$6:$B$35,A44)</f>
        <v/>
      </c>
      <c r="C44" s="57">
        <f>SUMIF($B$6:$B$35,A44,$E$6:$E$35)</f>
        <v/>
      </c>
      <c r="D44" s="56">
        <f>SUMIF($B$6:$B$35,A44,$F$6:$F$35)</f>
        <v/>
      </c>
      <c r="E44" s="56">
        <f>AVERAGEIF($B$6:$B$35,A44,$F$6:$F$35)</f>
        <v/>
      </c>
    </row>
    <row r="45" ht="15.75" customHeight="1" s="49">
      <c r="A45" s="54" t="inlineStr">
        <is>
          <t>Ali</t>
        </is>
      </c>
      <c r="B45" s="57">
        <f>COUNTIF($B$6:$B$35,A45)</f>
        <v/>
      </c>
      <c r="C45" s="57">
        <f>SUMIF($B$6:$B$35,A45,$E$6:$E$35)</f>
        <v/>
      </c>
      <c r="D45" s="56">
        <f>SUMIF($B$6:$B$35,A45,$F$6:$F$35)</f>
        <v/>
      </c>
      <c r="E45" s="56">
        <f>AVERAGEIF($B$6:$B$35,A45,$F$6:$F$35)</f>
        <v/>
      </c>
    </row>
    <row r="46" ht="15.75" customHeight="1" s="49">
      <c r="A46" s="85" t="inlineStr">
        <is>
          <t>Total</t>
        </is>
      </c>
      <c r="B46" s="62">
        <f>SUM(B40:B45)</f>
        <v/>
      </c>
      <c r="C46" s="62">
        <f>SUM(C40:C45)</f>
        <v/>
      </c>
      <c r="D46" s="63">
        <f>SUM(D40:D45)</f>
        <v/>
      </c>
      <c r="E46" s="63">
        <f>AVERAGE(F6:F35)</f>
        <v/>
      </c>
    </row>
    <row r="47" ht="15.75" customHeight="1" s="49"/>
    <row r="48" ht="15.75" customHeight="1" s="49">
      <c r="A48" s="86" t="inlineStr">
        <is>
          <t>Best Sales Person</t>
        </is>
      </c>
      <c r="B48" s="60" t="n"/>
      <c r="C48" s="87">
        <f>INDEX($A$40:$A$45,MATCH(MAX($D$40:$D$45),$D$40:$D$45,0))</f>
        <v/>
      </c>
      <c r="D48" s="60" t="n"/>
      <c r="E48" s="60" t="n"/>
    </row>
    <row r="49" ht="15.75" customHeight="1" s="49">
      <c r="A49" s="86" t="inlineStr">
        <is>
          <t>Best Sales Amount (EGP)</t>
        </is>
      </c>
      <c r="B49" s="60" t="n"/>
      <c r="C49" s="88">
        <f>MAX($D$40:$D$45)</f>
        <v/>
      </c>
      <c r="D49" s="60" t="n"/>
      <c r="E49" s="60" t="n"/>
    </row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>
      <c r="A56" s="48" t="n"/>
    </row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autoFilter ref="A5:F35"/>
  <mergeCells count="7">
    <mergeCell ref="A48:B48"/>
    <mergeCell ref="A38:E38"/>
    <mergeCell ref="A1:F1"/>
    <mergeCell ref="A49:B49"/>
    <mergeCell ref="C49:E49"/>
    <mergeCell ref="C48:E48"/>
    <mergeCell ref="A4:C4"/>
  </mergeCells>
  <conditionalFormatting sqref="A6:F35">
    <cfRule type="expression" rank="0" priority="2" equalAverage="0" aboveAverage="0" dxfId="0" text="" percent="0" bottom="0">
      <formula>MOD(ROW(),2)=0</formula>
    </cfRule>
  </conditionalFormatting>
  <conditionalFormatting sqref="A40:E45">
    <cfRule type="expression" rank="0" priority="3" equalAverage="0" aboveAverage="0" dxfId="1" text="" percent="0" bottom="0">
      <formula>$D40=MAX($D$40:$D$45)</formula>
    </cfRule>
    <cfRule type="expression" rank="0" priority="4" equalAverage="0" aboveAverage="0" dxfId="0" text="" percent="0" bottom="0">
      <formula>MOD(ROW(),2)=0</formula>
    </cfRule>
  </conditionalFormatting>
  <dataValidations count="1">
    <dataValidation sqref="C6:C35" showDropDown="0" showInputMessage="0" showErrorMessage="1" allowBlank="1" errorTitle="Unknown car type" error="Choose a car type from the list. A typed value breaks the price lookup." promptTitle="Car Type" prompt="Pick one of the six models in the price table." type="list">
      <formula1>"Toyota,Jeep,Volkswagen,BMW,Kia,Mazda"</formula1>
    </dataValidation>
  </dataValidations>
  <printOptions horizontalCentered="1" verticalCentered="0" headings="0" gridLines="0" gridLinesSet="1"/>
  <pageMargins left="0.4" right="0.4" top="0.5" bottom="0.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K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14.390625" defaultRowHeight="15" zeroHeight="0" outlineLevelRow="0"/>
  <cols>
    <col width="14" customWidth="1" style="48" min="1" max="1"/>
    <col width="18" customWidth="1" style="48" min="2" max="2"/>
    <col width="14" customWidth="1" style="48" min="3" max="3"/>
    <col width="16" customWidth="1" style="48" min="4" max="4"/>
    <col width="9" customWidth="1" style="48" min="5" max="5"/>
    <col width="18" customWidth="1" style="48" min="6" max="6"/>
    <col width="3" customWidth="1" style="48" min="7" max="9"/>
    <col width="14" customWidth="1" style="48" min="10" max="11"/>
    <col width="8.74" customWidth="1" style="48" min="12" max="26"/>
  </cols>
  <sheetData>
    <row r="1" ht="15.75" customHeight="1" s="49">
      <c r="A1" s="50" t="inlineStr">
        <is>
          <t>Instruction: look up the car price for each order and calculate the full order amount.</t>
        </is>
      </c>
    </row>
    <row r="2" ht="6" customHeight="1" s="49"/>
    <row r="3" ht="21.75" customHeight="1" s="49">
      <c r="A3" s="51" t="inlineStr">
        <is>
          <t>Sales Report (May 2019)</t>
        </is>
      </c>
      <c r="J3" s="52" t="inlineStr">
        <is>
          <t>Car Type</t>
        </is>
      </c>
      <c r="K3" s="52" t="inlineStr">
        <is>
          <t>Price (EGP)</t>
        </is>
      </c>
    </row>
    <row r="4" ht="18" customHeight="1" s="49">
      <c r="A4" s="52" t="inlineStr">
        <is>
          <t>Order Date</t>
        </is>
      </c>
      <c r="B4" s="52" t="inlineStr">
        <is>
          <t>Sales Agent Name</t>
        </is>
      </c>
      <c r="C4" s="52" t="inlineStr">
        <is>
          <t>Car Type</t>
        </is>
      </c>
      <c r="D4" s="52" t="inlineStr">
        <is>
          <t>Car Price (EGP)</t>
        </is>
      </c>
      <c r="E4" s="52" t="inlineStr">
        <is>
          <t>Count</t>
        </is>
      </c>
      <c r="F4" s="52" t="inlineStr">
        <is>
          <t>Total Sales (EGP)</t>
        </is>
      </c>
      <c r="J4" s="54" t="inlineStr">
        <is>
          <t>Toyota</t>
        </is>
      </c>
      <c r="K4" s="56" t="n">
        <v>590000</v>
      </c>
    </row>
    <row r="5" ht="15" customHeight="1" s="49">
      <c r="A5" s="53" t="n">
        <v>43586</v>
      </c>
      <c r="B5" s="54" t="inlineStr">
        <is>
          <t>Ahmed</t>
        </is>
      </c>
      <c r="C5" s="55" t="inlineStr">
        <is>
          <t>Toyota</t>
        </is>
      </c>
      <c r="D5" s="89">
        <f>VLOOKUP(C5,$J$4:$K$9,2,FALSE())</f>
        <v/>
      </c>
      <c r="E5" s="57" t="n">
        <v>1</v>
      </c>
      <c r="F5" s="89">
        <f>D5*E5</f>
        <v/>
      </c>
      <c r="J5" s="54" t="inlineStr">
        <is>
          <t>Jeep</t>
        </is>
      </c>
      <c r="K5" s="56" t="n">
        <v>750000</v>
      </c>
    </row>
    <row r="6" ht="15" customHeight="1" s="49">
      <c r="A6" s="53" t="n">
        <v>43587</v>
      </c>
      <c r="B6" s="54" t="inlineStr">
        <is>
          <t>Hossam</t>
        </is>
      </c>
      <c r="C6" s="55" t="inlineStr">
        <is>
          <t>Jeep</t>
        </is>
      </c>
      <c r="D6" s="89">
        <f>VLOOKUP(C6,$J$4:$K$9,2,FALSE())</f>
        <v/>
      </c>
      <c r="E6" s="57" t="n">
        <v>2</v>
      </c>
      <c r="F6" s="89">
        <f>D6*E6</f>
        <v/>
      </c>
      <c r="J6" s="54" t="inlineStr">
        <is>
          <t>Volkswagen</t>
        </is>
      </c>
      <c r="K6" s="56" t="n">
        <v>460000</v>
      </c>
    </row>
    <row r="7" ht="15" customHeight="1" s="49">
      <c r="A7" s="53" t="n">
        <v>43588</v>
      </c>
      <c r="B7" s="54" t="inlineStr">
        <is>
          <t>Abdullah</t>
        </is>
      </c>
      <c r="C7" s="55" t="inlineStr">
        <is>
          <t>Toyota</t>
        </is>
      </c>
      <c r="D7" s="89">
        <f>VLOOKUP(C7,$J$4:$K$9,2,FALSE())</f>
        <v/>
      </c>
      <c r="E7" s="57" t="n">
        <v>1</v>
      </c>
      <c r="F7" s="89">
        <f>D7*E7</f>
        <v/>
      </c>
      <c r="J7" s="54" t="inlineStr">
        <is>
          <t>BMW</t>
        </is>
      </c>
      <c r="K7" s="56" t="n">
        <v>790000</v>
      </c>
    </row>
    <row r="8" ht="15" customHeight="1" s="49">
      <c r="A8" s="53" t="n">
        <v>43589</v>
      </c>
      <c r="B8" s="54" t="inlineStr">
        <is>
          <t>Mona</t>
        </is>
      </c>
      <c r="C8" s="55" t="inlineStr">
        <is>
          <t>Volkswagen</t>
        </is>
      </c>
      <c r="D8" s="89">
        <f>VLOOKUP(C8,$J$4:$K$9,2,FALSE())</f>
        <v/>
      </c>
      <c r="E8" s="57" t="n">
        <v>1</v>
      </c>
      <c r="F8" s="89">
        <f>D8*E8</f>
        <v/>
      </c>
      <c r="J8" s="54" t="inlineStr">
        <is>
          <t>Kia</t>
        </is>
      </c>
      <c r="K8" s="56" t="n">
        <v>375000</v>
      </c>
    </row>
    <row r="9" ht="15" customHeight="1" s="49">
      <c r="A9" s="53" t="n">
        <v>43590</v>
      </c>
      <c r="B9" s="54" t="inlineStr">
        <is>
          <t>Farida</t>
        </is>
      </c>
      <c r="C9" s="55" t="inlineStr">
        <is>
          <t>BMW</t>
        </is>
      </c>
      <c r="D9" s="89">
        <f>VLOOKUP(C9,$J$4:$K$9,2,FALSE())</f>
        <v/>
      </c>
      <c r="E9" s="57" t="n">
        <v>3</v>
      </c>
      <c r="F9" s="89">
        <f>D9*E9</f>
        <v/>
      </c>
      <c r="J9" s="54" t="inlineStr">
        <is>
          <t>Mazda</t>
        </is>
      </c>
      <c r="K9" s="56" t="n">
        <v>348000</v>
      </c>
    </row>
    <row r="10" ht="15" customHeight="1" s="49">
      <c r="A10" s="53" t="n">
        <v>43591</v>
      </c>
      <c r="B10" s="54" t="inlineStr">
        <is>
          <t>Ahmed</t>
        </is>
      </c>
      <c r="C10" s="55" t="inlineStr">
        <is>
          <t>Kia</t>
        </is>
      </c>
      <c r="D10" s="89">
        <f>VLOOKUP(C10,$J$4:$K$9,2,FALSE())</f>
        <v/>
      </c>
      <c r="E10" s="57" t="n">
        <v>2</v>
      </c>
      <c r="F10" s="89">
        <f>D10*E10</f>
        <v/>
      </c>
    </row>
    <row r="11" ht="15" customHeight="1" s="49">
      <c r="A11" s="53" t="n">
        <v>43592</v>
      </c>
      <c r="B11" s="54" t="inlineStr">
        <is>
          <t>Hossam</t>
        </is>
      </c>
      <c r="C11" s="55" t="inlineStr">
        <is>
          <t>Toyota</t>
        </is>
      </c>
      <c r="D11" s="89">
        <f>VLOOKUP(C11,$J$4:$K$9,2,FALSE())</f>
        <v/>
      </c>
      <c r="E11" s="57" t="n">
        <v>3</v>
      </c>
      <c r="F11" s="89">
        <f>D11*E11</f>
        <v/>
      </c>
    </row>
    <row r="12" ht="15" customHeight="1" s="49">
      <c r="A12" s="53" t="n">
        <v>43593</v>
      </c>
      <c r="B12" s="54" t="inlineStr">
        <is>
          <t>Ahmed</t>
        </is>
      </c>
      <c r="C12" s="55" t="inlineStr">
        <is>
          <t>Jeep</t>
        </is>
      </c>
      <c r="D12" s="89">
        <f>VLOOKUP(C12,$J$4:$K$9,2,FALSE())</f>
        <v/>
      </c>
      <c r="E12" s="57" t="n">
        <v>2</v>
      </c>
      <c r="F12" s="89">
        <f>D12*E12</f>
        <v/>
      </c>
    </row>
    <row r="13" ht="15" customHeight="1" s="49">
      <c r="A13" s="53" t="n">
        <v>43594</v>
      </c>
      <c r="B13" s="54" t="inlineStr">
        <is>
          <t>Mona</t>
        </is>
      </c>
      <c r="C13" s="55" t="inlineStr">
        <is>
          <t>Toyota</t>
        </is>
      </c>
      <c r="D13" s="89">
        <f>VLOOKUP(C13,$J$4:$K$9,2,FALSE())</f>
        <v/>
      </c>
      <c r="E13" s="57" t="n">
        <v>3</v>
      </c>
      <c r="F13" s="89">
        <f>D13*E13</f>
        <v/>
      </c>
    </row>
    <row r="14" ht="15" customHeight="1" s="49">
      <c r="A14" s="53" t="n">
        <v>43595</v>
      </c>
      <c r="B14" s="54" t="inlineStr">
        <is>
          <t>Abdullah</t>
        </is>
      </c>
      <c r="C14" s="55" t="inlineStr">
        <is>
          <t>Jeep</t>
        </is>
      </c>
      <c r="D14" s="89">
        <f>VLOOKUP(C14,$J$4:$K$9,2,FALSE())</f>
        <v/>
      </c>
      <c r="E14" s="57" t="n">
        <v>2</v>
      </c>
      <c r="F14" s="89">
        <f>D14*E14</f>
        <v/>
      </c>
    </row>
    <row r="15" ht="15" customHeight="1" s="49">
      <c r="A15" s="53" t="n">
        <v>43596</v>
      </c>
      <c r="B15" s="54" t="inlineStr">
        <is>
          <t>Hossam</t>
        </is>
      </c>
      <c r="C15" s="55" t="inlineStr">
        <is>
          <t>Volkswagen</t>
        </is>
      </c>
      <c r="D15" s="89">
        <f>VLOOKUP(C15,$J$4:$K$9,2,FALSE())</f>
        <v/>
      </c>
      <c r="E15" s="57" t="n">
        <v>1</v>
      </c>
      <c r="F15" s="89">
        <f>D15*E15</f>
        <v/>
      </c>
    </row>
    <row r="16" ht="15" customHeight="1" s="49">
      <c r="A16" s="53" t="n">
        <v>43597</v>
      </c>
      <c r="B16" s="54" t="inlineStr">
        <is>
          <t>Mona</t>
        </is>
      </c>
      <c r="C16" s="55" t="inlineStr">
        <is>
          <t>Volkswagen</t>
        </is>
      </c>
      <c r="D16" s="89">
        <f>VLOOKUP(C16,$J$4:$K$9,2,FALSE())</f>
        <v/>
      </c>
      <c r="E16" s="57" t="n">
        <v>1</v>
      </c>
      <c r="F16" s="89">
        <f>D16*E16</f>
        <v/>
      </c>
    </row>
    <row r="17" ht="15" customHeight="1" s="49">
      <c r="A17" s="53" t="n">
        <v>43598</v>
      </c>
      <c r="B17" s="54" t="inlineStr">
        <is>
          <t>Farida</t>
        </is>
      </c>
      <c r="C17" s="55" t="inlineStr">
        <is>
          <t>Jeep</t>
        </is>
      </c>
      <c r="D17" s="89">
        <f>VLOOKUP(C17,$J$4:$K$9,2,FALSE())</f>
        <v/>
      </c>
      <c r="E17" s="57" t="n">
        <v>1</v>
      </c>
      <c r="F17" s="89">
        <f>D17*E17</f>
        <v/>
      </c>
    </row>
    <row r="18" ht="15" customHeight="1" s="49">
      <c r="A18" s="53" t="n">
        <v>43599</v>
      </c>
      <c r="B18" s="54" t="inlineStr">
        <is>
          <t>Farida</t>
        </is>
      </c>
      <c r="C18" s="55" t="inlineStr">
        <is>
          <t>Toyota</t>
        </is>
      </c>
      <c r="D18" s="89">
        <f>VLOOKUP(C18,$J$4:$K$9,2,FALSE())</f>
        <v/>
      </c>
      <c r="E18" s="57" t="n">
        <v>2</v>
      </c>
      <c r="F18" s="89">
        <f>D18*E18</f>
        <v/>
      </c>
    </row>
    <row r="19" ht="15" customHeight="1" s="49">
      <c r="A19" s="53" t="n">
        <v>43600</v>
      </c>
      <c r="B19" s="54" t="inlineStr">
        <is>
          <t>Ahmed</t>
        </is>
      </c>
      <c r="C19" s="55" t="inlineStr">
        <is>
          <t>Kia</t>
        </is>
      </c>
      <c r="D19" s="89">
        <f>VLOOKUP(C19,$J$4:$K$9,2,FALSE())</f>
        <v/>
      </c>
      <c r="E19" s="57" t="n">
        <v>2</v>
      </c>
      <c r="F19" s="89">
        <f>D19*E19</f>
        <v/>
      </c>
    </row>
    <row r="20" ht="15" customHeight="1" s="49">
      <c r="A20" s="53" t="n">
        <v>43601</v>
      </c>
      <c r="B20" s="54" t="inlineStr">
        <is>
          <t>Hossam</t>
        </is>
      </c>
      <c r="C20" s="55" t="inlineStr">
        <is>
          <t>BMW</t>
        </is>
      </c>
      <c r="D20" s="89">
        <f>VLOOKUP(C20,$J$4:$K$9,2,FALSE())</f>
        <v/>
      </c>
      <c r="E20" s="57" t="n">
        <v>1</v>
      </c>
      <c r="F20" s="89">
        <f>D20*E20</f>
        <v/>
      </c>
    </row>
    <row r="21" ht="15.75" customHeight="1" s="49">
      <c r="A21" s="53" t="n">
        <v>43602</v>
      </c>
      <c r="B21" s="54" t="inlineStr">
        <is>
          <t>Abdullah</t>
        </is>
      </c>
      <c r="C21" s="55" t="inlineStr">
        <is>
          <t>BMW</t>
        </is>
      </c>
      <c r="D21" s="89">
        <f>VLOOKUP(C21,$J$4:$K$9,2,FALSE())</f>
        <v/>
      </c>
      <c r="E21" s="57" t="n">
        <v>1</v>
      </c>
      <c r="F21" s="89">
        <f>D21*E21</f>
        <v/>
      </c>
    </row>
    <row r="22" ht="15.75" customHeight="1" s="49">
      <c r="A22" s="53" t="n">
        <v>43603</v>
      </c>
      <c r="B22" s="54" t="inlineStr">
        <is>
          <t>Ali</t>
        </is>
      </c>
      <c r="C22" s="55" t="inlineStr">
        <is>
          <t>Toyota</t>
        </is>
      </c>
      <c r="D22" s="89">
        <f>VLOOKUP(C22,$J$4:$K$9,2,FALSE())</f>
        <v/>
      </c>
      <c r="E22" s="57" t="n">
        <v>2</v>
      </c>
      <c r="F22" s="89">
        <f>D22*E22</f>
        <v/>
      </c>
    </row>
    <row r="23" ht="15.75" customHeight="1" s="49">
      <c r="A23" s="53" t="n">
        <v>43604</v>
      </c>
      <c r="B23" s="54" t="inlineStr">
        <is>
          <t>Hossam</t>
        </is>
      </c>
      <c r="C23" s="55" t="inlineStr">
        <is>
          <t>Kia</t>
        </is>
      </c>
      <c r="D23" s="89">
        <f>VLOOKUP(C23,$J$4:$K$9,2,FALSE())</f>
        <v/>
      </c>
      <c r="E23" s="57" t="n">
        <v>2</v>
      </c>
      <c r="F23" s="89">
        <f>D23*E23</f>
        <v/>
      </c>
    </row>
    <row r="24" ht="15.75" customHeight="1" s="49">
      <c r="A24" s="53" t="n">
        <v>43605</v>
      </c>
      <c r="B24" s="54" t="inlineStr">
        <is>
          <t>Ali</t>
        </is>
      </c>
      <c r="C24" s="55" t="inlineStr">
        <is>
          <t>Toyota</t>
        </is>
      </c>
      <c r="D24" s="89">
        <f>VLOOKUP(C24,$J$4:$K$9,2,FALSE())</f>
        <v/>
      </c>
      <c r="E24" s="57" t="n">
        <v>1</v>
      </c>
      <c r="F24" s="89">
        <f>D24*E24</f>
        <v/>
      </c>
    </row>
    <row r="25" ht="15.75" customHeight="1" s="49">
      <c r="A25" s="53" t="n">
        <v>43606</v>
      </c>
      <c r="B25" s="54" t="inlineStr">
        <is>
          <t>Farida</t>
        </is>
      </c>
      <c r="C25" s="55" t="inlineStr">
        <is>
          <t>Jeep</t>
        </is>
      </c>
      <c r="D25" s="89">
        <f>VLOOKUP(C25,$J$4:$K$9,2,FALSE())</f>
        <v/>
      </c>
      <c r="E25" s="57" t="n">
        <v>1</v>
      </c>
      <c r="F25" s="89">
        <f>D25*E25</f>
        <v/>
      </c>
    </row>
    <row r="26" ht="15.75" customHeight="1" s="49">
      <c r="A26" s="53" t="n">
        <v>43607</v>
      </c>
      <c r="B26" s="54" t="inlineStr">
        <is>
          <t>Abdullah</t>
        </is>
      </c>
      <c r="C26" s="55" t="inlineStr">
        <is>
          <t>Volkswagen</t>
        </is>
      </c>
      <c r="D26" s="89">
        <f>VLOOKUP(C26,$J$4:$K$9,2,FALSE())</f>
        <v/>
      </c>
      <c r="E26" s="57" t="n">
        <v>1</v>
      </c>
      <c r="F26" s="89">
        <f>D26*E26</f>
        <v/>
      </c>
    </row>
    <row r="27" ht="15.75" customHeight="1" s="49">
      <c r="A27" s="53" t="n">
        <v>43608</v>
      </c>
      <c r="B27" s="54" t="inlineStr">
        <is>
          <t>Abdullah</t>
        </is>
      </c>
      <c r="C27" s="55" t="inlineStr">
        <is>
          <t>Volkswagen</t>
        </is>
      </c>
      <c r="D27" s="89">
        <f>VLOOKUP(C27,$J$4:$K$9,2,FALSE())</f>
        <v/>
      </c>
      <c r="E27" s="57" t="n">
        <v>3</v>
      </c>
      <c r="F27" s="89">
        <f>D27*E27</f>
        <v/>
      </c>
    </row>
    <row r="28" ht="15.75" customHeight="1" s="49">
      <c r="A28" s="53" t="n">
        <v>43609</v>
      </c>
      <c r="B28" s="54" t="inlineStr">
        <is>
          <t>Farida</t>
        </is>
      </c>
      <c r="C28" s="55" t="inlineStr">
        <is>
          <t>Kia</t>
        </is>
      </c>
      <c r="D28" s="89">
        <f>VLOOKUP(C28,$J$4:$K$9,2,FALSE())</f>
        <v/>
      </c>
      <c r="E28" s="57" t="n">
        <v>1</v>
      </c>
      <c r="F28" s="89">
        <f>D28*E28</f>
        <v/>
      </c>
    </row>
    <row r="29" ht="15.75" customHeight="1" s="49">
      <c r="A29" s="53" t="n">
        <v>43610</v>
      </c>
      <c r="B29" s="54" t="inlineStr">
        <is>
          <t>Ahmed</t>
        </is>
      </c>
      <c r="C29" s="55" t="inlineStr">
        <is>
          <t>BMW</t>
        </is>
      </c>
      <c r="D29" s="89">
        <f>VLOOKUP(C29,$J$4:$K$9,2,FALSE())</f>
        <v/>
      </c>
      <c r="E29" s="57" t="n">
        <v>2</v>
      </c>
      <c r="F29" s="89">
        <f>D29*E29</f>
        <v/>
      </c>
    </row>
    <row r="30" ht="15.75" customHeight="1" s="49">
      <c r="A30" s="53" t="n">
        <v>43611</v>
      </c>
      <c r="B30" s="54" t="inlineStr">
        <is>
          <t>Mona</t>
        </is>
      </c>
      <c r="C30" s="55" t="inlineStr">
        <is>
          <t>Toyota</t>
        </is>
      </c>
      <c r="D30" s="89">
        <f>VLOOKUP(C30,$J$4:$K$9,2,FALSE())</f>
        <v/>
      </c>
      <c r="E30" s="57" t="n">
        <v>1</v>
      </c>
      <c r="F30" s="89">
        <f>D30*E30</f>
        <v/>
      </c>
    </row>
    <row r="31" ht="15.75" customHeight="1" s="49">
      <c r="A31" s="53" t="n">
        <v>43612</v>
      </c>
      <c r="B31" s="54" t="inlineStr">
        <is>
          <t>Hossam</t>
        </is>
      </c>
      <c r="C31" s="55" t="inlineStr">
        <is>
          <t>Kia</t>
        </is>
      </c>
      <c r="D31" s="89">
        <f>VLOOKUP(C31,$J$4:$K$9,2,FALSE())</f>
        <v/>
      </c>
      <c r="E31" s="57" t="n">
        <v>2</v>
      </c>
      <c r="F31" s="89">
        <f>D31*E31</f>
        <v/>
      </c>
    </row>
    <row r="32" ht="15.75" customHeight="1" s="49">
      <c r="A32" s="53" t="n">
        <v>43613</v>
      </c>
      <c r="B32" s="54" t="inlineStr">
        <is>
          <t>Ahmed</t>
        </is>
      </c>
      <c r="C32" s="55" t="inlineStr">
        <is>
          <t>Toyota</t>
        </is>
      </c>
      <c r="D32" s="89">
        <f>VLOOKUP(C32,$J$4:$K$9,2,FALSE())</f>
        <v/>
      </c>
      <c r="E32" s="57" t="n">
        <v>3</v>
      </c>
      <c r="F32" s="89">
        <f>D32*E32</f>
        <v/>
      </c>
    </row>
    <row r="33" ht="15.75" customHeight="1" s="49">
      <c r="A33" s="53" t="n">
        <v>43614</v>
      </c>
      <c r="B33" s="54" t="inlineStr">
        <is>
          <t>Hossam</t>
        </is>
      </c>
      <c r="C33" s="55" t="inlineStr">
        <is>
          <t>Jeep</t>
        </is>
      </c>
      <c r="D33" s="89">
        <f>VLOOKUP(C33,$J$4:$K$9,2,FALSE())</f>
        <v/>
      </c>
      <c r="E33" s="57" t="n">
        <v>1</v>
      </c>
      <c r="F33" s="89">
        <f>D33*E33</f>
        <v/>
      </c>
    </row>
    <row r="34" ht="15.75" customHeight="1" s="49">
      <c r="A34" s="53" t="n">
        <v>43615</v>
      </c>
      <c r="B34" s="54" t="inlineStr">
        <is>
          <t>Ali</t>
        </is>
      </c>
      <c r="C34" s="55" t="inlineStr">
        <is>
          <t>Volkswagen</t>
        </is>
      </c>
      <c r="D34" s="89">
        <f>VLOOKUP(C34,$J$4:$K$9,2,FALSE())</f>
        <v/>
      </c>
      <c r="E34" s="57" t="n">
        <v>1</v>
      </c>
      <c r="F34" s="89">
        <f>D34*E34</f>
        <v/>
      </c>
    </row>
    <row r="35" ht="15.75" customHeight="1" s="49">
      <c r="A35" s="59" t="inlineStr">
        <is>
          <t>Total</t>
        </is>
      </c>
      <c r="B35" s="60" t="n"/>
      <c r="C35" s="60" t="n"/>
      <c r="D35" s="61" t="n"/>
      <c r="E35" s="62">
        <f>SUM(E5:E34)</f>
        <v/>
      </c>
      <c r="F35" s="63">
        <f>SUM(F5:F34)</f>
        <v/>
      </c>
    </row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autoFilter ref="A4:F34"/>
  <mergeCells count="3">
    <mergeCell ref="A3:F3"/>
    <mergeCell ref="A1:F1"/>
    <mergeCell ref="A35:C35"/>
  </mergeCells>
  <conditionalFormatting sqref="J4:K9">
    <cfRule type="expression" rank="0" priority="2" equalAverage="0" aboveAverage="0" dxfId="0" text="" percent="0" bottom="0">
      <formula>MOD(ROW(),2)=0</formula>
    </cfRule>
  </conditionalFormatting>
  <conditionalFormatting sqref="A5:F34">
    <cfRule type="expression" rank="0" priority="3" equalAverage="0" aboveAverage="0" dxfId="0" text="" percent="0" bottom="0">
      <formula>MOD(ROW(),2)=0</formula>
    </cfRule>
  </conditionalFormatting>
  <dataValidations count="1">
    <dataValidation sqref="C5:C34" showDropDown="0" showInputMessage="0" showErrorMessage="1" allowBlank="1" errorTitle="Unknown car type" error="Choose a car type from the list. A typed value breaks the price lookup." promptTitle="Car Type" prompt="Pick one of the six models in the price table." type="list">
      <formula1>"Toyota,Jeep,Volkswagen,BMW,Kia,Mazda"</formula1>
    </dataValidation>
  </dataValidations>
  <printOptions horizontalCentered="1" verticalCentered="0" headings="0" gridLines="0" gridLinesSet="1"/>
  <pageMargins left="0.4" right="0.4" top="0.5" bottom="0.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I1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390625" defaultRowHeight="15" zeroHeight="0" outlineLevelRow="0"/>
  <cols>
    <col width="16" customWidth="1" style="48" min="1" max="2"/>
    <col width="14" customWidth="1" style="48" min="3" max="3"/>
    <col width="18" customWidth="1" style="48" min="4" max="4"/>
    <col width="3" customWidth="1" style="48" min="5" max="7"/>
    <col width="14" customWidth="1" style="48" min="8" max="9"/>
    <col width="8.74" customWidth="1" style="48" min="10" max="26"/>
  </cols>
  <sheetData>
    <row r="1" ht="27.75" customHeight="1" s="49">
      <c r="A1" s="90" t="inlineStr">
        <is>
          <t>Sales Invoice</t>
        </is>
      </c>
      <c r="B1" s="60" t="n"/>
      <c r="C1" s="60" t="n"/>
      <c r="D1" s="60" t="n"/>
    </row>
    <row r="2" ht="15.75" customHeight="1" s="49">
      <c r="A2" s="91" t="inlineStr">
        <is>
          <t>Invoice No.:</t>
        </is>
      </c>
      <c r="B2" s="92" t="inlineStr">
        <is>
          <t>INV-2019-0001</t>
        </is>
      </c>
      <c r="C2" s="91" t="inlineStr">
        <is>
          <t>Date:</t>
        </is>
      </c>
      <c r="D2" s="93" t="n">
        <v>43616</v>
      </c>
    </row>
    <row r="3" ht="15.75" customHeight="1" s="49">
      <c r="A3" s="91" t="inlineStr">
        <is>
          <t>Customer:</t>
        </is>
      </c>
      <c r="B3" s="92" t="inlineStr">
        <is>
          <t>Walk-in Customer</t>
        </is>
      </c>
      <c r="C3" s="91" t="inlineStr">
        <is>
          <t>Sales Agent:</t>
        </is>
      </c>
      <c r="D3" s="92" t="inlineStr">
        <is>
          <t>Ahmed</t>
        </is>
      </c>
      <c r="H3" s="52" t="inlineStr">
        <is>
          <t>Car Type</t>
        </is>
      </c>
      <c r="I3" s="52" t="inlineStr">
        <is>
          <t>Price (EGP)</t>
        </is>
      </c>
    </row>
    <row r="4" ht="18" customHeight="1" s="49">
      <c r="A4" s="52" t="inlineStr">
        <is>
          <t>Car Type</t>
        </is>
      </c>
      <c r="B4" s="52" t="inlineStr">
        <is>
          <t>Car Price (EGP)</t>
        </is>
      </c>
      <c r="C4" s="52" t="inlineStr">
        <is>
          <t>Count</t>
        </is>
      </c>
      <c r="D4" s="52" t="inlineStr">
        <is>
          <t>Total Sales (EGP)</t>
        </is>
      </c>
      <c r="H4" s="54" t="inlineStr">
        <is>
          <t>Toyota</t>
        </is>
      </c>
      <c r="I4" s="56" t="n">
        <v>590000</v>
      </c>
    </row>
    <row r="5" ht="15" customHeight="1" s="49">
      <c r="A5" s="94" t="inlineStr">
        <is>
          <t>Toyota</t>
        </is>
      </c>
      <c r="B5" s="56">
        <f>IF(A5="","",VLOOKUP(A5,$H$4:$I$9,2,FALSE()))</f>
        <v/>
      </c>
      <c r="C5" s="57" t="n">
        <v>2</v>
      </c>
      <c r="D5" s="56">
        <f>IF(A5="","",B5*C5)</f>
        <v/>
      </c>
      <c r="H5" s="54" t="inlineStr">
        <is>
          <t>Jeep</t>
        </is>
      </c>
      <c r="I5" s="56" t="n">
        <v>750000</v>
      </c>
    </row>
    <row r="6" ht="15" customHeight="1" s="49">
      <c r="A6" s="94" t="inlineStr">
        <is>
          <t>Jeep</t>
        </is>
      </c>
      <c r="B6" s="56">
        <f>IF(A6="","",VLOOKUP(A6,$H$4:$I$9,2,FALSE()))</f>
        <v/>
      </c>
      <c r="C6" s="57" t="n">
        <v>1</v>
      </c>
      <c r="D6" s="56">
        <f>IF(A6="","",B6*C6)</f>
        <v/>
      </c>
      <c r="H6" s="54" t="inlineStr">
        <is>
          <t>Volkswagen</t>
        </is>
      </c>
      <c r="I6" s="56" t="n">
        <v>460000</v>
      </c>
    </row>
    <row r="7" ht="15" customHeight="1" s="49">
      <c r="A7" s="94" t="inlineStr">
        <is>
          <t>BMW</t>
        </is>
      </c>
      <c r="B7" s="56">
        <f>IF(A7="","",VLOOKUP(A7,$H$4:$I$9,2,FALSE()))</f>
        <v/>
      </c>
      <c r="C7" s="57" t="n">
        <v>1</v>
      </c>
      <c r="D7" s="56">
        <f>IF(A7="","",B7*C7)</f>
        <v/>
      </c>
      <c r="H7" s="54" t="inlineStr">
        <is>
          <t>BMW</t>
        </is>
      </c>
      <c r="I7" s="56" t="n">
        <v>790000</v>
      </c>
    </row>
    <row r="8" ht="15" customHeight="1" s="49">
      <c r="A8" s="94" t="n"/>
      <c r="B8" s="56">
        <f>IF(A8="","",VLOOKUP(A8,$H$4:$I$9,2,FALSE()))</f>
        <v/>
      </c>
      <c r="C8" s="57" t="n"/>
      <c r="D8" s="56">
        <f>IF(A8="","",B8*C8)</f>
        <v/>
      </c>
      <c r="H8" s="54" t="inlineStr">
        <is>
          <t>Kia</t>
        </is>
      </c>
      <c r="I8" s="56" t="n">
        <v>375000</v>
      </c>
    </row>
    <row r="9" ht="15" customHeight="1" s="49">
      <c r="A9" s="94" t="n"/>
      <c r="B9" s="56">
        <f>IF(A9="","",VLOOKUP(A9,$H$4:$I$9,2,FALSE()))</f>
        <v/>
      </c>
      <c r="C9" s="57" t="n"/>
      <c r="D9" s="56">
        <f>IF(A9="","",B9*C9)</f>
        <v/>
      </c>
      <c r="H9" s="54" t="inlineStr">
        <is>
          <t>Mazda</t>
        </is>
      </c>
      <c r="I9" s="56" t="n">
        <v>348000</v>
      </c>
    </row>
    <row r="10" ht="15" customHeight="1" s="49">
      <c r="A10" s="94" t="n"/>
      <c r="B10" s="56">
        <f>IF(A10="","",VLOOKUP(A10,$H$4:$I$9,2,FALSE()))</f>
        <v/>
      </c>
      <c r="C10" s="57" t="n"/>
      <c r="D10" s="56">
        <f>IF(A10="","",B10*C10)</f>
        <v/>
      </c>
    </row>
    <row r="11" ht="15" customHeight="1" s="49">
      <c r="A11" s="94" t="n"/>
      <c r="B11" s="56">
        <f>IF(A11="","",VLOOKUP(A11,$H$4:$I$9,2,FALSE()))</f>
        <v/>
      </c>
      <c r="C11" s="57" t="n"/>
      <c r="D11" s="56">
        <f>IF(A11="","",B11*C11)</f>
        <v/>
      </c>
    </row>
    <row r="12" ht="15" customHeight="1" s="49">
      <c r="A12" s="94" t="n"/>
      <c r="B12" s="56">
        <f>IF(A12="","",VLOOKUP(A12,$H$4:$I$9,2,FALSE()))</f>
        <v/>
      </c>
      <c r="C12" s="57" t="n"/>
      <c r="D12" s="56">
        <f>IF(A12="","",B12*C12)</f>
        <v/>
      </c>
    </row>
    <row r="13" ht="15" customHeight="1" s="49">
      <c r="A13" s="94" t="n"/>
      <c r="B13" s="56">
        <f>IF(A13="","",VLOOKUP(A13,$H$4:$I$9,2,FALSE()))</f>
        <v/>
      </c>
      <c r="C13" s="57" t="n"/>
      <c r="D13" s="56">
        <f>IF(A13="","",B13*C13)</f>
        <v/>
      </c>
    </row>
    <row r="14" ht="15" customHeight="1" s="49">
      <c r="A14" s="94" t="n"/>
      <c r="B14" s="56">
        <f>IF(A14="","",VLOOKUP(A14,$H$4:$I$9,2,FALSE()))</f>
        <v/>
      </c>
      <c r="C14" s="57" t="n"/>
      <c r="D14" s="56">
        <f>IF(A14="","",B14*C14)</f>
        <v/>
      </c>
    </row>
    <row r="15" ht="15" customHeight="1" s="49">
      <c r="A15" s="94" t="n"/>
      <c r="B15" s="56">
        <f>IF(A15="","",VLOOKUP(A15,$H$4:$I$9,2,FALSE()))</f>
        <v/>
      </c>
      <c r="C15" s="57" t="n"/>
      <c r="D15" s="56">
        <f>IF(A15="","",B15*C15)</f>
        <v/>
      </c>
    </row>
    <row r="16" ht="15" customHeight="1" s="49">
      <c r="A16" s="95" t="inlineStr">
        <is>
          <t>Total</t>
        </is>
      </c>
      <c r="B16" s="96" t="n"/>
      <c r="C16" s="73">
        <f>SUM(C5:C15)</f>
        <v/>
      </c>
      <c r="D16" s="97">
        <f>SUM(D5:D15)</f>
        <v/>
      </c>
    </row>
    <row r="18" ht="15" customHeight="1" s="49">
      <c r="A18" s="98" t="inlineStr">
        <is>
          <t>Thank you for your business.</t>
        </is>
      </c>
    </row>
    <row r="21" ht="15.75" customHeight="1" s="49"/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3">
    <mergeCell ref="A1:D1"/>
    <mergeCell ref="A18:D18"/>
    <mergeCell ref="A16:B16"/>
  </mergeCells>
  <conditionalFormatting sqref="H4:I9">
    <cfRule type="expression" rank="0" priority="2" equalAverage="0" aboveAverage="0" dxfId="0" text="" percent="0" bottom="0">
      <formula>MOD(ROW(),2)=0</formula>
    </cfRule>
  </conditionalFormatting>
  <conditionalFormatting sqref="A5:D15">
    <cfRule type="expression" rank="0" priority="3" equalAverage="0" aboveAverage="0" dxfId="0" text="" percent="0" bottom="0">
      <formula>MOD(ROW(),2)=0</formula>
    </cfRule>
  </conditionalFormatting>
  <dataValidations count="1">
    <dataValidation sqref="A5:A15" showDropDown="0" showInputMessage="0" showErrorMessage="0" allowBlank="1" type="list" errorStyle="stop" operator="between">
      <formula1>$H$4:$H$9</formula1>
      <formula2>0</formula2>
    </dataValidation>
  </dataValidations>
  <printOptions horizontalCentered="1" verticalCentered="0" headings="0" gridLines="0" gridLinesSet="1"/>
  <pageMargins left="0.4" right="0.4" top="0.5" bottom="0.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:language xmlns:dc="http://purl.org/dc/elements/1.1/">en-US</dc:language>
  <dcterms:created xmlns:dcterms="http://purl.org/dc/terms/" xmlns:xsi="http://www.w3.org/2001/XMLSchema-instance" xsi:type="dcterms:W3CDTF">2024-07-26T20:53:48Z</dcterms:created>
  <dcterms:modified xmlns:dcterms="http://purl.org/dc/terms/" xmlns:xsi="http://www.w3.org/2001/XMLSchema-instance" xsi:type="dcterms:W3CDTF">2026-09-14T17:58:26Z</dcterms:modified>
  <cp:lastModifiedBy>Ayman Fouad</cp:lastModifiedBy>
  <cp:revision>0</cp:revision>
</cp:coreProperties>
</file>